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ahrul.rozy\Downloads\"/>
    </mc:Choice>
  </mc:AlternateContent>
  <xr:revisionPtr revIDLastSave="0" documentId="8_{0394D25B-3D75-47AA-93BB-DBB57228E9F2}" xr6:coauthVersionLast="36" xr6:coauthVersionMax="36" xr10:uidLastSave="{00000000-0000-0000-0000-000000000000}"/>
  <bookViews>
    <workbookView xWindow="0" yWindow="0" windowWidth="13224" windowHeight="5556" tabRatio="320" xr2:uid="{00000000-000D-0000-FFFF-FFFF00000000}"/>
  </bookViews>
  <sheets>
    <sheet name="Timeline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2" i="6" l="1"/>
  <c r="J130" i="6"/>
  <c r="J174" i="6"/>
  <c r="G174" i="6"/>
  <c r="J173" i="6"/>
  <c r="G173" i="6"/>
  <c r="G172" i="6"/>
  <c r="J172" i="6"/>
  <c r="C167" i="6"/>
  <c r="C164" i="6"/>
  <c r="J171" i="6"/>
  <c r="G171" i="6"/>
  <c r="I170" i="6"/>
  <c r="H170" i="6"/>
  <c r="F170" i="6"/>
  <c r="E170" i="6"/>
  <c r="J161" i="6"/>
  <c r="G161" i="6"/>
  <c r="H139" i="6"/>
  <c r="J139" i="6" s="1"/>
  <c r="G141" i="6"/>
  <c r="J140" i="6"/>
  <c r="J138" i="6"/>
  <c r="C170" i="6"/>
  <c r="I31" i="6"/>
  <c r="H31" i="6"/>
  <c r="I151" i="6"/>
  <c r="H151" i="6"/>
  <c r="I133" i="6"/>
  <c r="H133" i="6"/>
  <c r="I119" i="6"/>
  <c r="H119" i="6"/>
  <c r="J137" i="6"/>
  <c r="J129" i="6"/>
  <c r="J128" i="6"/>
  <c r="J127" i="6"/>
  <c r="J126" i="6"/>
  <c r="F151" i="6"/>
  <c r="G162" i="6"/>
  <c r="G160" i="6"/>
  <c r="G159" i="6"/>
  <c r="G158" i="6"/>
  <c r="G157" i="6"/>
  <c r="G156" i="6"/>
  <c r="G155" i="6"/>
  <c r="G154" i="6"/>
  <c r="G153" i="6"/>
  <c r="G152" i="6"/>
  <c r="E151" i="6"/>
  <c r="C151" i="6"/>
  <c r="J134" i="6"/>
  <c r="E143" i="6"/>
  <c r="G140" i="6"/>
  <c r="F135" i="6"/>
  <c r="E136" i="6" s="1"/>
  <c r="F136" i="6" s="1"/>
  <c r="F137" i="6" s="1"/>
  <c r="G134" i="6"/>
  <c r="J124" i="6"/>
  <c r="G124" i="6"/>
  <c r="J123" i="6"/>
  <c r="E133" i="6"/>
  <c r="G130" i="6"/>
  <c r="G131" i="6"/>
  <c r="F119" i="6"/>
  <c r="J122" i="6"/>
  <c r="J121" i="6"/>
  <c r="J120" i="6"/>
  <c r="G125" i="6"/>
  <c r="G123" i="6"/>
  <c r="G122" i="6"/>
  <c r="G121" i="6"/>
  <c r="G120" i="6"/>
  <c r="E119" i="6"/>
  <c r="C6" i="6"/>
  <c r="F109" i="6"/>
  <c r="E110" i="6" s="1"/>
  <c r="F110" i="6" s="1"/>
  <c r="E111" i="6" s="1"/>
  <c r="F111" i="6" s="1"/>
  <c r="E112" i="6" s="1"/>
  <c r="F112" i="6" s="1"/>
  <c r="E113" i="6" s="1"/>
  <c r="F113" i="6" s="1"/>
  <c r="E114" i="6" s="1"/>
  <c r="F114" i="6" s="1"/>
  <c r="E115" i="6" s="1"/>
  <c r="F115" i="6" s="1"/>
  <c r="E116" i="6" s="1"/>
  <c r="F116" i="6" s="1"/>
  <c r="F107" i="6"/>
  <c r="E108" i="6" s="1"/>
  <c r="F108" i="6" s="1"/>
  <c r="F106" i="6"/>
  <c r="G104" i="6"/>
  <c r="G103" i="6"/>
  <c r="F102" i="6"/>
  <c r="E103" i="6" s="1"/>
  <c r="F103" i="6" s="1"/>
  <c r="E105" i="6" s="1"/>
  <c r="F105" i="6" s="1"/>
  <c r="E99" i="6"/>
  <c r="F99" i="6" s="1"/>
  <c r="E100" i="6" s="1"/>
  <c r="F100" i="6" s="1"/>
  <c r="E101" i="6" s="1"/>
  <c r="F101" i="6" s="1"/>
  <c r="G98" i="6"/>
  <c r="F97" i="6"/>
  <c r="E97" i="6"/>
  <c r="C97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F70" i="6"/>
  <c r="E70" i="6"/>
  <c r="C70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F46" i="6"/>
  <c r="E46" i="6"/>
  <c r="C46" i="6"/>
  <c r="J44" i="6"/>
  <c r="J43" i="6"/>
  <c r="E43" i="6"/>
  <c r="J42" i="6"/>
  <c r="G42" i="6"/>
  <c r="J41" i="6"/>
  <c r="F41" i="6"/>
  <c r="G41" i="6" s="1"/>
  <c r="J40" i="6"/>
  <c r="F40" i="6"/>
  <c r="G40" i="6" s="1"/>
  <c r="J39" i="6"/>
  <c r="J38" i="6"/>
  <c r="F38" i="6"/>
  <c r="J37" i="6"/>
  <c r="F37" i="6"/>
  <c r="J36" i="6"/>
  <c r="F36" i="6"/>
  <c r="J35" i="6"/>
  <c r="F35" i="6"/>
  <c r="J34" i="6"/>
  <c r="F34" i="6"/>
  <c r="J33" i="6"/>
  <c r="G33" i="6"/>
  <c r="J32" i="6"/>
  <c r="G32" i="6"/>
  <c r="E31" i="6"/>
  <c r="NW3" i="6"/>
  <c r="NX3" i="6"/>
  <c r="NY3" i="6"/>
  <c r="NZ3" i="6"/>
  <c r="OA3" i="6"/>
  <c r="OB3" i="6"/>
  <c r="OC3" i="6"/>
  <c r="OD3" i="6"/>
  <c r="OE3" i="6"/>
  <c r="OF3" i="6"/>
  <c r="OG3" i="6"/>
  <c r="OH3" i="6"/>
  <c r="OI3" i="6"/>
  <c r="OJ3" i="6"/>
  <c r="OK3" i="6"/>
  <c r="OL3" i="6"/>
  <c r="OM3" i="6"/>
  <c r="ON3" i="6"/>
  <c r="OO3" i="6"/>
  <c r="OP3" i="6"/>
  <c r="OQ3" i="6"/>
  <c r="OR3" i="6"/>
  <c r="OS3" i="6"/>
  <c r="OT3" i="6"/>
  <c r="OU3" i="6"/>
  <c r="OV3" i="6"/>
  <c r="OW3" i="6"/>
  <c r="OX3" i="6"/>
  <c r="OY3" i="6"/>
  <c r="OZ3" i="6"/>
  <c r="PA3" i="6"/>
  <c r="PB3" i="6"/>
  <c r="PC3" i="6"/>
  <c r="PD3" i="6"/>
  <c r="PE3" i="6"/>
  <c r="PF3" i="6"/>
  <c r="PG3" i="6"/>
  <c r="PH3" i="6"/>
  <c r="PI3" i="6"/>
  <c r="PJ3" i="6"/>
  <c r="PK3" i="6"/>
  <c r="PL3" i="6"/>
  <c r="PM3" i="6"/>
  <c r="PN3" i="6"/>
  <c r="PO3" i="6"/>
  <c r="PP3" i="6"/>
  <c r="PQ3" i="6"/>
  <c r="PR3" i="6"/>
  <c r="PS3" i="6"/>
  <c r="PT3" i="6"/>
  <c r="PU3" i="6"/>
  <c r="PV3" i="6"/>
  <c r="PW3" i="6"/>
  <c r="PX3" i="6"/>
  <c r="PY3" i="6"/>
  <c r="PZ3" i="6"/>
  <c r="QA3" i="6"/>
  <c r="QB3" i="6"/>
  <c r="QC3" i="6"/>
  <c r="QD3" i="6"/>
  <c r="QE3" i="6"/>
  <c r="QF3" i="6"/>
  <c r="QG3" i="6"/>
  <c r="QH3" i="6"/>
  <c r="QI3" i="6"/>
  <c r="QJ3" i="6"/>
  <c r="QK3" i="6"/>
  <c r="QL3" i="6"/>
  <c r="QM3" i="6"/>
  <c r="QN3" i="6"/>
  <c r="QO3" i="6"/>
  <c r="QP3" i="6"/>
  <c r="QQ3" i="6"/>
  <c r="QR3" i="6"/>
  <c r="QS3" i="6"/>
  <c r="QT3" i="6"/>
  <c r="QU3" i="6"/>
  <c r="QV3" i="6"/>
  <c r="QW3" i="6"/>
  <c r="QX3" i="6"/>
  <c r="QY3" i="6"/>
  <c r="QZ3" i="6"/>
  <c r="RA3" i="6"/>
  <c r="RB3" i="6"/>
  <c r="RC3" i="6"/>
  <c r="RD3" i="6"/>
  <c r="RE3" i="6"/>
  <c r="RF3" i="6"/>
  <c r="RG3" i="6"/>
  <c r="RH3" i="6"/>
  <c r="RI3" i="6"/>
  <c r="RJ3" i="6"/>
  <c r="RK3" i="6"/>
  <c r="RL3" i="6"/>
  <c r="RM3" i="6"/>
  <c r="RN3" i="6"/>
  <c r="RO3" i="6"/>
  <c r="RP3" i="6"/>
  <c r="RQ3" i="6"/>
  <c r="RR3" i="6"/>
  <c r="RS3" i="6"/>
  <c r="RT3" i="6"/>
  <c r="RU3" i="6"/>
  <c r="RV3" i="6"/>
  <c r="NK3" i="6"/>
  <c r="NL3" i="6"/>
  <c r="NM3" i="6"/>
  <c r="NN3" i="6"/>
  <c r="NO3" i="6"/>
  <c r="NP3" i="6"/>
  <c r="NQ3" i="6"/>
  <c r="NR3" i="6"/>
  <c r="NS3" i="6"/>
  <c r="NT3" i="6"/>
  <c r="NU3" i="6"/>
  <c r="NV3" i="6"/>
  <c r="HO3" i="6"/>
  <c r="RX3" i="6"/>
  <c r="RW3" i="6"/>
  <c r="NJ3" i="6"/>
  <c r="NI3" i="6"/>
  <c r="NH3" i="6"/>
  <c r="NG3" i="6"/>
  <c r="NF3" i="6"/>
  <c r="NE3" i="6"/>
  <c r="ND3" i="6"/>
  <c r="NC3" i="6"/>
  <c r="NB3" i="6"/>
  <c r="NA3" i="6"/>
  <c r="MZ3" i="6"/>
  <c r="MY3" i="6"/>
  <c r="MX3" i="6"/>
  <c r="MW3" i="6"/>
  <c r="MV3" i="6"/>
  <c r="MU3" i="6"/>
  <c r="MT3" i="6"/>
  <c r="MS3" i="6"/>
  <c r="MR3" i="6"/>
  <c r="MQ3" i="6"/>
  <c r="MP3" i="6"/>
  <c r="MO3" i="6"/>
  <c r="MN3" i="6"/>
  <c r="MM3" i="6"/>
  <c r="ML3" i="6"/>
  <c r="MK3" i="6"/>
  <c r="MJ3" i="6"/>
  <c r="MI3" i="6"/>
  <c r="MH3" i="6"/>
  <c r="MG3" i="6"/>
  <c r="MF3" i="6"/>
  <c r="ME3" i="6"/>
  <c r="MD3" i="6"/>
  <c r="MC3" i="6"/>
  <c r="MB3" i="6"/>
  <c r="MA3" i="6"/>
  <c r="LZ3" i="6"/>
  <c r="LY3" i="6"/>
  <c r="LX3" i="6"/>
  <c r="LW3" i="6"/>
  <c r="LV3" i="6"/>
  <c r="LU3" i="6"/>
  <c r="LT3" i="6"/>
  <c r="LS3" i="6"/>
  <c r="LR3" i="6"/>
  <c r="LQ3" i="6"/>
  <c r="LP3" i="6"/>
  <c r="LO3" i="6"/>
  <c r="LN3" i="6"/>
  <c r="LM3" i="6"/>
  <c r="LL3" i="6"/>
  <c r="LK3" i="6"/>
  <c r="LJ3" i="6"/>
  <c r="LI3" i="6"/>
  <c r="LH3" i="6"/>
  <c r="LG3" i="6"/>
  <c r="LF3" i="6"/>
  <c r="LE3" i="6"/>
  <c r="LD3" i="6"/>
  <c r="LC3" i="6"/>
  <c r="LB3" i="6"/>
  <c r="LA3" i="6"/>
  <c r="KZ3" i="6"/>
  <c r="KY3" i="6"/>
  <c r="KX3" i="6"/>
  <c r="KW3" i="6"/>
  <c r="KV3" i="6"/>
  <c r="KU3" i="6"/>
  <c r="KT3" i="6"/>
  <c r="KS3" i="6"/>
  <c r="KR3" i="6"/>
  <c r="KQ3" i="6"/>
  <c r="KP3" i="6"/>
  <c r="KO3" i="6"/>
  <c r="KN3" i="6"/>
  <c r="KM3" i="6"/>
  <c r="KL3" i="6"/>
  <c r="KK3" i="6"/>
  <c r="KJ3" i="6"/>
  <c r="KI3" i="6"/>
  <c r="KH3" i="6"/>
  <c r="KG3" i="6"/>
  <c r="KF3" i="6"/>
  <c r="KE3" i="6"/>
  <c r="KD3" i="6"/>
  <c r="KC3" i="6"/>
  <c r="KB3" i="6"/>
  <c r="KA3" i="6"/>
  <c r="JZ3" i="6"/>
  <c r="JY3" i="6"/>
  <c r="JX3" i="6"/>
  <c r="JW3" i="6"/>
  <c r="JV3" i="6"/>
  <c r="JU3" i="6"/>
  <c r="JT3" i="6"/>
  <c r="JS3" i="6"/>
  <c r="JR3" i="6"/>
  <c r="JQ3" i="6"/>
  <c r="JP3" i="6"/>
  <c r="JO3" i="6"/>
  <c r="JN3" i="6"/>
  <c r="JM3" i="6"/>
  <c r="JL3" i="6"/>
  <c r="JK3" i="6"/>
  <c r="JJ3" i="6"/>
  <c r="JI3" i="6"/>
  <c r="JH3" i="6"/>
  <c r="JG3" i="6"/>
  <c r="JF3" i="6"/>
  <c r="JE3" i="6"/>
  <c r="JD3" i="6"/>
  <c r="JC3" i="6"/>
  <c r="JB3" i="6"/>
  <c r="JA3" i="6"/>
  <c r="IZ3" i="6"/>
  <c r="IY3" i="6"/>
  <c r="IX3" i="6"/>
  <c r="IW3" i="6"/>
  <c r="IV3" i="6"/>
  <c r="IU3" i="6"/>
  <c r="IT3" i="6"/>
  <c r="IS3" i="6"/>
  <c r="IR3" i="6"/>
  <c r="IQ3" i="6"/>
  <c r="IP3" i="6"/>
  <c r="IO3" i="6"/>
  <c r="IN3" i="6"/>
  <c r="IM3" i="6"/>
  <c r="IL3" i="6"/>
  <c r="IK3" i="6"/>
  <c r="IJ3" i="6"/>
  <c r="II3" i="6"/>
  <c r="IH3" i="6"/>
  <c r="IG3" i="6"/>
  <c r="IF3" i="6"/>
  <c r="IE3" i="6"/>
  <c r="ID3" i="6"/>
  <c r="IC3" i="6"/>
  <c r="IB3" i="6"/>
  <c r="IA3" i="6"/>
  <c r="HZ3" i="6"/>
  <c r="HY3" i="6"/>
  <c r="HX3" i="6"/>
  <c r="HW3" i="6"/>
  <c r="HV3" i="6"/>
  <c r="HU3" i="6"/>
  <c r="HT3" i="6"/>
  <c r="HS3" i="6"/>
  <c r="HR3" i="6"/>
  <c r="HQ3" i="6"/>
  <c r="HP3" i="6"/>
  <c r="HN3" i="6"/>
  <c r="HM3" i="6"/>
  <c r="HL3" i="6"/>
  <c r="HK3" i="6"/>
  <c r="HJ3" i="6"/>
  <c r="HI3" i="6"/>
  <c r="HH3" i="6"/>
  <c r="HG3" i="6"/>
  <c r="HF3" i="6"/>
  <c r="HE3" i="6"/>
  <c r="HD3" i="6"/>
  <c r="HC3" i="6"/>
  <c r="HB3" i="6"/>
  <c r="HA3" i="6"/>
  <c r="GZ3" i="6"/>
  <c r="GY3" i="6"/>
  <c r="GX3" i="6"/>
  <c r="GW3" i="6"/>
  <c r="GV3" i="6"/>
  <c r="GU3" i="6"/>
  <c r="GT3" i="6"/>
  <c r="GS3" i="6"/>
  <c r="GR3" i="6"/>
  <c r="GQ3" i="6"/>
  <c r="GP3" i="6"/>
  <c r="GO3" i="6"/>
  <c r="GN3" i="6"/>
  <c r="GM3" i="6"/>
  <c r="GL3" i="6"/>
  <c r="GK3" i="6"/>
  <c r="GJ3" i="6"/>
  <c r="GI3" i="6"/>
  <c r="GH3" i="6"/>
  <c r="GG3" i="6"/>
  <c r="GF3" i="6"/>
  <c r="GE3" i="6"/>
  <c r="GD3" i="6"/>
  <c r="GC3" i="6"/>
  <c r="GB3" i="6"/>
  <c r="GA3" i="6"/>
  <c r="FZ3" i="6"/>
  <c r="FY3" i="6"/>
  <c r="FX3" i="6"/>
  <c r="FW3" i="6"/>
  <c r="FV3" i="6"/>
  <c r="FU3" i="6"/>
  <c r="FT3" i="6"/>
  <c r="FS3" i="6"/>
  <c r="FR3" i="6"/>
  <c r="FQ3" i="6"/>
  <c r="FP3" i="6"/>
  <c r="FO3" i="6"/>
  <c r="FN3" i="6"/>
  <c r="FM3" i="6"/>
  <c r="FL3" i="6"/>
  <c r="FK3" i="6"/>
  <c r="FJ3" i="6"/>
  <c r="FI3" i="6"/>
  <c r="FH3" i="6"/>
  <c r="FG3" i="6"/>
  <c r="FF3" i="6"/>
  <c r="FE3" i="6"/>
  <c r="FD3" i="6"/>
  <c r="FC3" i="6"/>
  <c r="FB3" i="6"/>
  <c r="FA3" i="6"/>
  <c r="EZ3" i="6"/>
  <c r="EY3" i="6"/>
  <c r="EX3" i="6"/>
  <c r="EW3" i="6"/>
  <c r="EV3" i="6"/>
  <c r="EU3" i="6"/>
  <c r="ET3" i="6"/>
  <c r="ES3" i="6"/>
  <c r="ER3" i="6"/>
  <c r="EQ3" i="6"/>
  <c r="EP3" i="6"/>
  <c r="EO3" i="6"/>
  <c r="EN3" i="6"/>
  <c r="EM3" i="6"/>
  <c r="EL3" i="6"/>
  <c r="EK3" i="6"/>
  <c r="EJ3" i="6"/>
  <c r="EI3" i="6"/>
  <c r="EH3" i="6"/>
  <c r="EG3" i="6"/>
  <c r="EF3" i="6"/>
  <c r="EE3" i="6"/>
  <c r="ED3" i="6"/>
  <c r="EC3" i="6"/>
  <c r="EB3" i="6"/>
  <c r="EA3" i="6"/>
  <c r="DZ3" i="6"/>
  <c r="DY3" i="6"/>
  <c r="DX3" i="6"/>
  <c r="DW3" i="6"/>
  <c r="DV3" i="6"/>
  <c r="DU3" i="6"/>
  <c r="DT3" i="6"/>
  <c r="DS3" i="6"/>
  <c r="DR3" i="6"/>
  <c r="DQ3" i="6"/>
  <c r="DP3" i="6"/>
  <c r="DO3" i="6"/>
  <c r="DN3" i="6"/>
  <c r="DM3" i="6"/>
  <c r="DL3" i="6"/>
  <c r="DK3" i="6"/>
  <c r="DJ3" i="6"/>
  <c r="DI3" i="6"/>
  <c r="DH3" i="6"/>
  <c r="DG3" i="6"/>
  <c r="DF3" i="6"/>
  <c r="DE3" i="6"/>
  <c r="DD3" i="6"/>
  <c r="DC3" i="6"/>
  <c r="DB3" i="6"/>
  <c r="DA3" i="6"/>
  <c r="CZ3" i="6"/>
  <c r="CY3" i="6"/>
  <c r="CX3" i="6"/>
  <c r="CW3" i="6"/>
  <c r="CV3" i="6"/>
  <c r="CU3" i="6"/>
  <c r="CT3" i="6"/>
  <c r="CS3" i="6"/>
  <c r="CR3" i="6"/>
  <c r="CQ3" i="6"/>
  <c r="CP3" i="6"/>
  <c r="CO3" i="6"/>
  <c r="CN3" i="6"/>
  <c r="CM3" i="6"/>
  <c r="CL3" i="6"/>
  <c r="CK3" i="6"/>
  <c r="CJ3" i="6"/>
  <c r="CI3" i="6"/>
  <c r="CH3" i="6"/>
  <c r="CG3" i="6"/>
  <c r="CF3" i="6"/>
  <c r="CE3" i="6"/>
  <c r="CD3" i="6"/>
  <c r="CC3" i="6"/>
  <c r="CB3" i="6"/>
  <c r="CA3" i="6"/>
  <c r="BZ3" i="6"/>
  <c r="BY3" i="6"/>
  <c r="BX3" i="6"/>
  <c r="BW3" i="6"/>
  <c r="BV3" i="6"/>
  <c r="BU3" i="6"/>
  <c r="BT3" i="6"/>
  <c r="BS3" i="6"/>
  <c r="BR3" i="6"/>
  <c r="BQ3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G170" i="6" l="1"/>
  <c r="J170" i="6"/>
  <c r="J31" i="6"/>
  <c r="J151" i="6"/>
  <c r="J133" i="6"/>
  <c r="J119" i="6"/>
  <c r="J125" i="6"/>
  <c r="G151" i="6"/>
  <c r="G119" i="6"/>
  <c r="E35" i="6"/>
  <c r="G35" i="6" s="1"/>
  <c r="G34" i="6"/>
  <c r="E37" i="6"/>
  <c r="G37" i="6" s="1"/>
  <c r="G36" i="6"/>
  <c r="E39" i="6"/>
  <c r="G38" i="6"/>
  <c r="F43" i="6"/>
  <c r="G46" i="6"/>
  <c r="G70" i="6"/>
  <c r="G97" i="6"/>
  <c r="E129" i="6" l="1"/>
  <c r="G129" i="6" s="1"/>
  <c r="E128" i="6"/>
  <c r="G128" i="6" s="1"/>
  <c r="F126" i="6"/>
  <c r="E127" i="6" s="1"/>
  <c r="G126" i="6"/>
  <c r="E44" i="6"/>
  <c r="G43" i="6"/>
  <c r="F39" i="6"/>
  <c r="F127" i="6" l="1"/>
  <c r="G127" i="6"/>
  <c r="G39" i="6"/>
  <c r="F44" i="6"/>
  <c r="F31" i="6" l="1"/>
  <c r="C31" i="6"/>
  <c r="G44" i="6"/>
  <c r="G31" i="6" l="1"/>
  <c r="J135" i="6"/>
  <c r="H136" i="6"/>
  <c r="J136" i="6"/>
  <c r="F138" i="6"/>
  <c r="E139" i="6"/>
  <c r="G143" i="6" l="1"/>
  <c r="E144" i="6"/>
  <c r="F144" i="6"/>
  <c r="E145" i="6"/>
  <c r="F145" i="6"/>
  <c r="E146" i="6"/>
  <c r="F146" i="6" s="1"/>
  <c r="E147" i="6" s="1"/>
  <c r="F147" i="6" s="1"/>
  <c r="E148" i="6" s="1"/>
  <c r="F148" i="6" s="1"/>
  <c r="E149" i="6" s="1"/>
  <c r="F149" i="6" s="1"/>
  <c r="F133" i="6" s="1"/>
  <c r="G133" i="6" l="1"/>
  <c r="C119" i="6"/>
  <c r="C13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Zahra Syahda COSMAX IDN</author>
  </authors>
  <commentList>
    <comment ref="A1" authorId="0" shapeId="0" xr:uid="{6567FE33-2889-45B5-9BB9-AE7CC65EF208}">
      <text>
        <r>
          <rPr>
            <sz val="11"/>
            <color theme="1"/>
            <rFont val="Calibri"/>
            <family val="2"/>
            <scheme val="minor"/>
          </rPr>
          <t>Zahra Syahda COSMAX IDN:
Legend:
Grey: Weekend
Yellow: Today
Light Green: Plan
Dark Green: Realization
Light Blue: On Progress
Green: DONE</t>
        </r>
      </text>
    </comment>
    <comment ref="G52" authorId="0" shapeId="0" xr:uid="{1F849CC5-820C-4CD4-886D-01DAD4DBB7E8}">
      <text>
        <r>
          <rPr>
            <sz val="11"/>
            <color theme="1"/>
            <rFont val="Calibri"/>
            <family val="2"/>
            <scheme val="minor"/>
          </rPr>
          <t>Zahra Syahda COSMAX IDN:
They can do 75 days calendar day, but still put 90 days as buffer</t>
        </r>
      </text>
    </comment>
    <comment ref="G76" authorId="0" shapeId="0" xr:uid="{E0C81FD1-3ED9-446F-B377-466346C45DD8}">
      <text>
        <r>
          <rPr>
            <sz val="11"/>
            <color theme="1"/>
            <rFont val="Calibri"/>
            <family val="2"/>
            <scheme val="minor"/>
          </rPr>
          <t>Zahra Syahda COSMAX IDN:
They can do faster from standard 90 days tp 75 days calendar day</t>
        </r>
      </text>
    </comment>
    <comment ref="I128" authorId="0" shapeId="0" xr:uid="{ED0912BC-9207-4422-98AC-7AD781D12FCD}">
      <text>
        <r>
          <rPr>
            <sz val="11"/>
            <color theme="1"/>
            <rFont val="Calibri"/>
            <family val="2"/>
            <scheme val="minor"/>
          </rPr>
          <t>Zahra Syahda COSMAX IDN:
Arrived at 7 Oct, Repair sent 8 Oct</t>
        </r>
      </text>
    </comment>
    <comment ref="I129" authorId="0" shapeId="0" xr:uid="{D6A5B425-4173-4A5B-932F-DD26C414E9A2}">
      <text>
        <r>
          <rPr>
            <sz val="11"/>
            <color theme="1"/>
            <rFont val="Calibri"/>
            <family val="2"/>
            <scheme val="minor"/>
          </rPr>
          <t>Zahra Syahda COSMAX IDN:
Arrived at 7 Oct, Repair sent 8 Oct</t>
        </r>
      </text>
    </comment>
    <comment ref="A164" authorId="0" shapeId="0" xr:uid="{20A5BEE0-D1EE-4DEA-8820-12CD209B954D}">
      <text>
        <r>
          <rPr>
            <sz val="11"/>
            <color theme="1"/>
            <rFont val="Calibri"/>
            <family val="2"/>
            <scheme val="minor"/>
          </rPr>
          <t>Zahra Syahda COSMAX IDN:
25,000 pcs PO
5,000 pcs per SKU, total 5 SKU</t>
        </r>
      </text>
    </comment>
    <comment ref="A167" authorId="0" shapeId="0" xr:uid="{B1B6FFBC-3A10-4944-BA32-91DE5CA032E7}">
      <text>
        <r>
          <rPr>
            <sz val="11"/>
            <color theme="1"/>
            <rFont val="Calibri"/>
            <family val="2"/>
            <scheme val="minor"/>
          </rPr>
          <t>Zahra Syahda COSMAX IDN:
25,000 pcs PO
5,000 pcs per SKU, total 5 SKU</t>
        </r>
      </text>
    </comment>
    <comment ref="A170" authorId="0" shapeId="0" xr:uid="{8C4E3EE2-314E-41A6-8D4E-CA256ED7F1C5}">
      <text>
        <r>
          <rPr>
            <sz val="11"/>
            <color theme="1"/>
            <rFont val="Calibri"/>
            <family val="2"/>
            <scheme val="minor"/>
          </rPr>
          <t>Zahra Syahda COSMAX IDN:
25,000 pcs PO
5,000 pcs per SKU, total 5 SKU</t>
        </r>
      </text>
    </comment>
  </commentList>
</comments>
</file>

<file path=xl/sharedStrings.xml><?xml version="1.0" encoding="utf-8"?>
<sst xmlns="http://schemas.openxmlformats.org/spreadsheetml/2006/main" count="182" uniqueCount="97">
  <si>
    <t>DONE</t>
  </si>
  <si>
    <t>ON PROGRESS</t>
  </si>
  <si>
    <t>Submit RFA</t>
  </si>
  <si>
    <t>UV Laser Coding</t>
  </si>
  <si>
    <t>PI PROJECT MANAGEMENT</t>
  </si>
  <si>
    <t>w: working day
o: off day</t>
  </si>
  <si>
    <t>w</t>
  </si>
  <si>
    <t>o</t>
  </si>
  <si>
    <t>Week:</t>
  </si>
  <si>
    <t>Day:</t>
  </si>
  <si>
    <t>Project Name</t>
  </si>
  <si>
    <t>Project Type</t>
  </si>
  <si>
    <t>Progress</t>
  </si>
  <si>
    <t>Detail Task</t>
  </si>
  <si>
    <t>Plan Date Start</t>
  </si>
  <si>
    <t>Plan Date Finished</t>
  </si>
  <si>
    <t>Plan Working Days</t>
  </si>
  <si>
    <t>Realization Date Start</t>
  </si>
  <si>
    <t>Realization Date Finished</t>
  </si>
  <si>
    <t>Realization Working Days</t>
  </si>
  <si>
    <t>Status</t>
  </si>
  <si>
    <t>Default Timeline</t>
  </si>
  <si>
    <t>Machine</t>
  </si>
  <si>
    <t>Total Leadtime</t>
  </si>
  <si>
    <t>Explain/Receive the Target/Goal</t>
  </si>
  <si>
    <t>Discuss Target and Timeline</t>
  </si>
  <si>
    <t>Checking Reference from Cosmax Group</t>
  </si>
  <si>
    <t>Checking Target/Existing Product Specification (URS)</t>
  </si>
  <si>
    <t>Pouch Bag Sealing Machine</t>
  </si>
  <si>
    <t>Cargo ready</t>
  </si>
  <si>
    <t>Pick Up</t>
  </si>
  <si>
    <t>Delayed due to Typhoon. First ETD Schedule was 11 Aug</t>
  </si>
  <si>
    <t>ETD Ningbo Port</t>
  </si>
  <si>
    <t>Shipment by Sea. Ningbo - Jakarta</t>
  </si>
  <si>
    <t>ETA Jakarta Port</t>
  </si>
  <si>
    <t>Clearance</t>
  </si>
  <si>
    <t>ETA Cosmax Indonesia</t>
  </si>
  <si>
    <t>Machine Unboxing</t>
  </si>
  <si>
    <t>Utility Installation</t>
  </si>
  <si>
    <t>Engineer Flight WNZ-CGK</t>
  </si>
  <si>
    <t>Technician Schedule for installation</t>
  </si>
  <si>
    <t>Machine Validation</t>
  </si>
  <si>
    <t>Engineer Flight CGK-WNZ</t>
  </si>
  <si>
    <t>Perfume Auto Filling Machine (90 days)</t>
  </si>
  <si>
    <t>JUST PLANNING</t>
  </si>
  <si>
    <t>Mr. Go confirm proposal</t>
  </si>
  <si>
    <t>RFA send</t>
  </si>
  <si>
    <t>RFA approval</t>
  </si>
  <si>
    <t>PO send</t>
  </si>
  <si>
    <t>Deposit Payment</t>
  </si>
  <si>
    <t>Machine Fabrication</t>
  </si>
  <si>
    <t>FAT by Cosmax China</t>
  </si>
  <si>
    <t>Payment Before Delivery</t>
  </si>
  <si>
    <t>ETD Shanghai Port</t>
  </si>
  <si>
    <t>Shipment by Sea. Shanghai- Jakarta</t>
  </si>
  <si>
    <t>Engineer Flight SHA-CGK</t>
  </si>
  <si>
    <t>Engineer Flight CGK-SHA</t>
  </si>
  <si>
    <t>Perfume Auto Filling Machine (75 days)</t>
  </si>
  <si>
    <t>Sheet Mask Cutting and Folding Machine</t>
  </si>
  <si>
    <t>Mid-Autumn Festival and National Day Holiday (China)</t>
  </si>
  <si>
    <t>FAT by Cosmax Guangzhou</t>
  </si>
  <si>
    <t>TAT Cushion</t>
  </si>
  <si>
    <t>Tooling NPD</t>
  </si>
  <si>
    <t>Received RFA from MKT</t>
  </si>
  <si>
    <t>Contact Keosan and Sobura for new Project Information</t>
  </si>
  <si>
    <t>Request Sample to PRNI (Gita) via BM until received sample</t>
  </si>
  <si>
    <t>Sending sample to Keosan</t>
  </si>
  <si>
    <t>Waiting new quotation Keosan</t>
  </si>
  <si>
    <t>Send PO</t>
  </si>
  <si>
    <t>Sending sample to Sobura</t>
  </si>
  <si>
    <t>Leadtime Tooling Keosan</t>
  </si>
  <si>
    <t>Leadtime Tooling Sobura</t>
  </si>
  <si>
    <t>Validation</t>
  </si>
  <si>
    <t>Target Launching Date</t>
  </si>
  <si>
    <t>Payment</t>
  </si>
  <si>
    <t>Holiday (China)</t>
  </si>
  <si>
    <t>CFS Closing</t>
  </si>
  <si>
    <t>ETD Hongkong Port</t>
  </si>
  <si>
    <t>Shipment by Sea. Hongkong- Jakarta</t>
  </si>
  <si>
    <t>FFY Powder and Cream Blush</t>
  </si>
  <si>
    <t>Fixed Price from MP</t>
  </si>
  <si>
    <t>Proceed Godet</t>
  </si>
  <si>
    <t>Revise Godet (without tulang)</t>
  </si>
  <si>
    <t>Revise Godet (with tulang)</t>
  </si>
  <si>
    <t>Lab Scale Tooling Process</t>
  </si>
  <si>
    <t>CT</t>
  </si>
  <si>
    <t>Start masspro (client)</t>
  </si>
  <si>
    <t>Transfer from lab to production scale</t>
  </si>
  <si>
    <t>Proceed Tooling Production</t>
  </si>
  <si>
    <t>Received Actual Sample from PRNI</t>
  </si>
  <si>
    <t>Target Delivery from Client</t>
  </si>
  <si>
    <t>DXN Lipstick Deboss Surface</t>
  </si>
  <si>
    <t>NYK Kay Beauty Contour Stick</t>
  </si>
  <si>
    <t>Lion Wings Press Powder</t>
  </si>
  <si>
    <t>Resubmit RFA for Puncher only to send sample ASAP</t>
  </si>
  <si>
    <t>Send Sample</t>
  </si>
  <si>
    <t>Tooling Fabrication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</si>
</sst>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&quot;-&quot;mmm&quot;-&quot;yy;@"/>
  </numFmts>
  <fonts count="5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vertical="top" textRotation="180"/>
    </xf>
    <xf numFmtId="165" fontId="3" fillId="2" borderId="3" xfId="0" applyNumberFormat="1" applyFont="1" applyFill="1" applyBorder="1" applyAlignment="1">
      <alignment vertical="top" textRotation="180"/>
    </xf>
    <xf numFmtId="165" fontId="0" fillId="0" borderId="0" xfId="0" applyNumberFormat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165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165" fontId="0" fillId="0" borderId="7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/>
    <xf numFmtId="9" fontId="0" fillId="0" borderId="2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left"/>
    </xf>
    <xf numFmtId="165" fontId="4" fillId="0" borderId="0" xfId="0" applyNumberFormat="1" applyFont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165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11">
    <dxf>
      <font>
        <color theme="1"/>
      </font>
      <fill>
        <patternFill patternType="solid">
          <bgColor theme="4" tint="0.59999389629810485"/>
        </patternFill>
      </fill>
    </dxf>
    <dxf>
      <font>
        <color theme="1"/>
      </font>
      <fill>
        <patternFill patternType="solid">
          <bgColor rgb="FFC44347"/>
        </patternFill>
      </fill>
    </dxf>
    <dxf>
      <font>
        <color theme="1"/>
      </font>
      <fill>
        <patternFill patternType="solid">
          <bgColor theme="7" tint="0.39997558519241921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34998626667073579"/>
        </patternFill>
      </fill>
    </dxf>
    <dxf>
      <font>
        <color theme="0"/>
      </font>
      <fill>
        <patternFill patternType="darkUp">
          <fgColor theme="0"/>
          <bgColor theme="4" tint="0.39994506668294322"/>
        </patternFill>
      </fill>
    </dxf>
    <dxf>
      <font>
        <color rgb="FF006100"/>
      </font>
      <fill>
        <patternFill patternType="lightUp">
          <fgColor theme="0"/>
          <bgColor theme="9" tint="0.59996337778862885"/>
        </patternFill>
      </fill>
    </dxf>
    <dxf>
      <font>
        <color rgb="FF006100"/>
      </font>
      <fill>
        <patternFill patternType="darkUp">
          <fgColor theme="0"/>
          <bgColor theme="9" tint="-0.24994659260841701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C443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4445-62C4-474D-94EE-F608E86320BA}">
  <dimension ref="A1:UE174"/>
  <sheetViews>
    <sheetView tabSelected="1" zoomScale="55" zoomScaleNormal="55" workbookViewId="0">
      <pane xSplit="11" ySplit="5" topLeftCell="L6" activePane="bottomRight" state="frozen"/>
      <selection pane="topRight"/>
      <selection pane="bottomLeft"/>
      <selection pane="bottomRight" activeCell="B141" sqref="B141"/>
    </sheetView>
  </sheetViews>
  <sheetFormatPr defaultColWidth="4" defaultRowHeight="15" customHeight="1" outlineLevelRow="1"/>
  <cols>
    <col min="1" max="1" width="36.33203125" style="5" customWidth="1"/>
    <col min="2" max="2" width="14.5546875" style="2" customWidth="1"/>
    <col min="3" max="3" width="10.109375" style="2" customWidth="1"/>
    <col min="4" max="4" width="53.5546875" style="5" customWidth="1"/>
    <col min="5" max="6" width="10.88671875" style="4" customWidth="1"/>
    <col min="7" max="7" width="10.88671875" style="2" customWidth="1"/>
    <col min="8" max="9" width="10.88671875" style="4" customWidth="1"/>
    <col min="10" max="10" width="10.88671875" style="2" customWidth="1"/>
    <col min="11" max="11" width="19" style="2" customWidth="1"/>
  </cols>
  <sheetData>
    <row r="1" spans="1:551" ht="33.6">
      <c r="A1" s="1" t="s">
        <v>4</v>
      </c>
      <c r="D1" s="3"/>
    </row>
    <row r="2" spans="1:551" s="27" customFormat="1" ht="33.75" customHeight="1">
      <c r="A2" s="29"/>
      <c r="D2" s="30"/>
      <c r="E2" s="28"/>
      <c r="F2" s="28"/>
      <c r="H2" s="28"/>
      <c r="I2" s="28"/>
      <c r="K2" s="31" t="s">
        <v>5</v>
      </c>
      <c r="AI2" s="27" t="s">
        <v>6</v>
      </c>
      <c r="BK2" s="27" t="s">
        <v>6</v>
      </c>
      <c r="BY2" s="27" t="s">
        <v>6</v>
      </c>
      <c r="CF2" s="27" t="s">
        <v>6</v>
      </c>
      <c r="EX2" s="27" t="s">
        <v>6</v>
      </c>
      <c r="IC2" s="27" t="s">
        <v>7</v>
      </c>
      <c r="IF2" s="27" t="s">
        <v>7</v>
      </c>
      <c r="IN2" s="27" t="s">
        <v>7</v>
      </c>
      <c r="IR2" s="27" t="s">
        <v>6</v>
      </c>
    </row>
    <row r="3" spans="1:551" s="27" customFormat="1" ht="14.4">
      <c r="A3" s="5"/>
      <c r="B3" s="2"/>
      <c r="C3" s="2"/>
      <c r="D3" s="5"/>
      <c r="E3" s="4"/>
      <c r="F3" s="4"/>
      <c r="G3" s="2"/>
      <c r="H3" s="4"/>
      <c r="I3" s="4"/>
      <c r="J3" s="2"/>
      <c r="K3" s="2" t="s">
        <v>8</v>
      </c>
      <c r="L3">
        <f t="shared" ref="L3:BW3" si="0">WEEKNUM(L5,1)</f>
        <v>1</v>
      </c>
      <c r="M3">
        <f t="shared" si="0"/>
        <v>1</v>
      </c>
      <c r="N3">
        <f t="shared" si="0"/>
        <v>1</v>
      </c>
      <c r="O3">
        <f t="shared" si="0"/>
        <v>2</v>
      </c>
      <c r="P3">
        <f t="shared" si="0"/>
        <v>2</v>
      </c>
      <c r="Q3">
        <f t="shared" si="0"/>
        <v>2</v>
      </c>
      <c r="R3">
        <f t="shared" si="0"/>
        <v>2</v>
      </c>
      <c r="S3">
        <f t="shared" si="0"/>
        <v>2</v>
      </c>
      <c r="T3">
        <f t="shared" si="0"/>
        <v>2</v>
      </c>
      <c r="U3">
        <f t="shared" si="0"/>
        <v>2</v>
      </c>
      <c r="V3">
        <f t="shared" si="0"/>
        <v>3</v>
      </c>
      <c r="W3">
        <f t="shared" si="0"/>
        <v>3</v>
      </c>
      <c r="X3">
        <f t="shared" si="0"/>
        <v>3</v>
      </c>
      <c r="Y3">
        <f t="shared" si="0"/>
        <v>3</v>
      </c>
      <c r="Z3">
        <f t="shared" si="0"/>
        <v>3</v>
      </c>
      <c r="AA3">
        <f t="shared" si="0"/>
        <v>3</v>
      </c>
      <c r="AB3">
        <f t="shared" si="0"/>
        <v>3</v>
      </c>
      <c r="AC3">
        <f t="shared" si="0"/>
        <v>4</v>
      </c>
      <c r="AD3">
        <f t="shared" si="0"/>
        <v>4</v>
      </c>
      <c r="AE3">
        <f t="shared" si="0"/>
        <v>4</v>
      </c>
      <c r="AF3">
        <f t="shared" si="0"/>
        <v>4</v>
      </c>
      <c r="AG3">
        <f t="shared" si="0"/>
        <v>4</v>
      </c>
      <c r="AH3">
        <f t="shared" si="0"/>
        <v>4</v>
      </c>
      <c r="AI3">
        <f t="shared" si="0"/>
        <v>4</v>
      </c>
      <c r="AJ3">
        <f t="shared" si="0"/>
        <v>5</v>
      </c>
      <c r="AK3">
        <f t="shared" si="0"/>
        <v>5</v>
      </c>
      <c r="AL3">
        <f t="shared" si="0"/>
        <v>5</v>
      </c>
      <c r="AM3">
        <f t="shared" si="0"/>
        <v>5</v>
      </c>
      <c r="AN3">
        <f t="shared" si="0"/>
        <v>5</v>
      </c>
      <c r="AO3">
        <f t="shared" si="0"/>
        <v>5</v>
      </c>
      <c r="AP3">
        <f t="shared" si="0"/>
        <v>5</v>
      </c>
      <c r="AQ3">
        <f t="shared" si="0"/>
        <v>6</v>
      </c>
      <c r="AR3">
        <f t="shared" si="0"/>
        <v>6</v>
      </c>
      <c r="AS3">
        <f t="shared" si="0"/>
        <v>6</v>
      </c>
      <c r="AT3">
        <f t="shared" si="0"/>
        <v>6</v>
      </c>
      <c r="AU3">
        <f t="shared" si="0"/>
        <v>6</v>
      </c>
      <c r="AV3">
        <f t="shared" si="0"/>
        <v>6</v>
      </c>
      <c r="AW3">
        <f t="shared" si="0"/>
        <v>6</v>
      </c>
      <c r="AX3">
        <f t="shared" si="0"/>
        <v>7</v>
      </c>
      <c r="AY3">
        <f t="shared" si="0"/>
        <v>7</v>
      </c>
      <c r="AZ3">
        <f t="shared" si="0"/>
        <v>7</v>
      </c>
      <c r="BA3">
        <f t="shared" si="0"/>
        <v>7</v>
      </c>
      <c r="BB3">
        <f t="shared" si="0"/>
        <v>7</v>
      </c>
      <c r="BC3">
        <f t="shared" si="0"/>
        <v>7</v>
      </c>
      <c r="BD3">
        <f t="shared" si="0"/>
        <v>7</v>
      </c>
      <c r="BE3">
        <f t="shared" si="0"/>
        <v>8</v>
      </c>
      <c r="BF3">
        <f t="shared" si="0"/>
        <v>8</v>
      </c>
      <c r="BG3">
        <f t="shared" si="0"/>
        <v>8</v>
      </c>
      <c r="BH3">
        <f t="shared" si="0"/>
        <v>8</v>
      </c>
      <c r="BI3">
        <f t="shared" si="0"/>
        <v>8</v>
      </c>
      <c r="BJ3">
        <f t="shared" si="0"/>
        <v>8</v>
      </c>
      <c r="BK3">
        <f t="shared" si="0"/>
        <v>8</v>
      </c>
      <c r="BL3">
        <f t="shared" si="0"/>
        <v>9</v>
      </c>
      <c r="BM3">
        <f t="shared" si="0"/>
        <v>9</v>
      </c>
      <c r="BN3">
        <f t="shared" si="0"/>
        <v>9</v>
      </c>
      <c r="BO3">
        <f t="shared" si="0"/>
        <v>9</v>
      </c>
      <c r="BP3">
        <f t="shared" si="0"/>
        <v>9</v>
      </c>
      <c r="BQ3">
        <f t="shared" si="0"/>
        <v>9</v>
      </c>
      <c r="BR3">
        <f t="shared" si="0"/>
        <v>9</v>
      </c>
      <c r="BS3">
        <f t="shared" si="0"/>
        <v>10</v>
      </c>
      <c r="BT3">
        <f t="shared" si="0"/>
        <v>10</v>
      </c>
      <c r="BU3">
        <f t="shared" si="0"/>
        <v>10</v>
      </c>
      <c r="BV3">
        <f t="shared" si="0"/>
        <v>10</v>
      </c>
      <c r="BW3">
        <f t="shared" si="0"/>
        <v>10</v>
      </c>
      <c r="BX3">
        <f t="shared" ref="BX3:EI3" si="1">WEEKNUM(BX5,1)</f>
        <v>10</v>
      </c>
      <c r="BY3">
        <f t="shared" si="1"/>
        <v>10</v>
      </c>
      <c r="BZ3">
        <f t="shared" si="1"/>
        <v>11</v>
      </c>
      <c r="CA3">
        <f t="shared" si="1"/>
        <v>11</v>
      </c>
      <c r="CB3">
        <f t="shared" si="1"/>
        <v>11</v>
      </c>
      <c r="CC3">
        <f t="shared" si="1"/>
        <v>11</v>
      </c>
      <c r="CD3">
        <f t="shared" si="1"/>
        <v>11</v>
      </c>
      <c r="CE3">
        <f t="shared" si="1"/>
        <v>11</v>
      </c>
      <c r="CF3">
        <f t="shared" si="1"/>
        <v>11</v>
      </c>
      <c r="CG3">
        <f t="shared" si="1"/>
        <v>12</v>
      </c>
      <c r="CH3">
        <f t="shared" si="1"/>
        <v>12</v>
      </c>
      <c r="CI3">
        <f t="shared" si="1"/>
        <v>12</v>
      </c>
      <c r="CJ3">
        <f t="shared" si="1"/>
        <v>12</v>
      </c>
      <c r="CK3">
        <f t="shared" si="1"/>
        <v>12</v>
      </c>
      <c r="CL3">
        <f t="shared" si="1"/>
        <v>12</v>
      </c>
      <c r="CM3">
        <f t="shared" si="1"/>
        <v>12</v>
      </c>
      <c r="CN3">
        <f t="shared" si="1"/>
        <v>13</v>
      </c>
      <c r="CO3">
        <f t="shared" si="1"/>
        <v>13</v>
      </c>
      <c r="CP3">
        <f t="shared" si="1"/>
        <v>13</v>
      </c>
      <c r="CQ3">
        <f t="shared" si="1"/>
        <v>13</v>
      </c>
      <c r="CR3">
        <f t="shared" si="1"/>
        <v>13</v>
      </c>
      <c r="CS3">
        <f t="shared" si="1"/>
        <v>13</v>
      </c>
      <c r="CT3">
        <f t="shared" si="1"/>
        <v>13</v>
      </c>
      <c r="CU3">
        <f t="shared" si="1"/>
        <v>14</v>
      </c>
      <c r="CV3">
        <f t="shared" si="1"/>
        <v>14</v>
      </c>
      <c r="CW3">
        <f t="shared" si="1"/>
        <v>14</v>
      </c>
      <c r="CX3">
        <f t="shared" si="1"/>
        <v>14</v>
      </c>
      <c r="CY3">
        <f t="shared" si="1"/>
        <v>14</v>
      </c>
      <c r="CZ3">
        <f t="shared" si="1"/>
        <v>14</v>
      </c>
      <c r="DA3">
        <f t="shared" si="1"/>
        <v>14</v>
      </c>
      <c r="DB3">
        <f t="shared" si="1"/>
        <v>15</v>
      </c>
      <c r="DC3">
        <f t="shared" si="1"/>
        <v>15</v>
      </c>
      <c r="DD3">
        <f t="shared" si="1"/>
        <v>15</v>
      </c>
      <c r="DE3">
        <f t="shared" si="1"/>
        <v>15</v>
      </c>
      <c r="DF3">
        <f t="shared" si="1"/>
        <v>15</v>
      </c>
      <c r="DG3">
        <f t="shared" si="1"/>
        <v>15</v>
      </c>
      <c r="DH3">
        <f t="shared" si="1"/>
        <v>15</v>
      </c>
      <c r="DI3">
        <f t="shared" si="1"/>
        <v>16</v>
      </c>
      <c r="DJ3">
        <f t="shared" si="1"/>
        <v>16</v>
      </c>
      <c r="DK3">
        <f t="shared" si="1"/>
        <v>16</v>
      </c>
      <c r="DL3">
        <f t="shared" si="1"/>
        <v>16</v>
      </c>
      <c r="DM3">
        <f t="shared" si="1"/>
        <v>16</v>
      </c>
      <c r="DN3">
        <f t="shared" si="1"/>
        <v>16</v>
      </c>
      <c r="DO3">
        <f t="shared" si="1"/>
        <v>16</v>
      </c>
      <c r="DP3">
        <f t="shared" si="1"/>
        <v>17</v>
      </c>
      <c r="DQ3">
        <f t="shared" si="1"/>
        <v>17</v>
      </c>
      <c r="DR3">
        <f t="shared" si="1"/>
        <v>17</v>
      </c>
      <c r="DS3">
        <f t="shared" si="1"/>
        <v>17</v>
      </c>
      <c r="DT3">
        <f t="shared" si="1"/>
        <v>17</v>
      </c>
      <c r="DU3">
        <f t="shared" si="1"/>
        <v>17</v>
      </c>
      <c r="DV3">
        <f t="shared" si="1"/>
        <v>17</v>
      </c>
      <c r="DW3">
        <f t="shared" si="1"/>
        <v>18</v>
      </c>
      <c r="DX3">
        <f t="shared" si="1"/>
        <v>18</v>
      </c>
      <c r="DY3">
        <f t="shared" si="1"/>
        <v>18</v>
      </c>
      <c r="DZ3">
        <f t="shared" si="1"/>
        <v>18</v>
      </c>
      <c r="EA3">
        <f t="shared" si="1"/>
        <v>18</v>
      </c>
      <c r="EB3">
        <f t="shared" si="1"/>
        <v>18</v>
      </c>
      <c r="EC3">
        <f t="shared" si="1"/>
        <v>18</v>
      </c>
      <c r="ED3">
        <f t="shared" si="1"/>
        <v>19</v>
      </c>
      <c r="EE3">
        <f t="shared" si="1"/>
        <v>19</v>
      </c>
      <c r="EF3">
        <f t="shared" si="1"/>
        <v>19</v>
      </c>
      <c r="EG3">
        <f t="shared" si="1"/>
        <v>19</v>
      </c>
      <c r="EH3">
        <f t="shared" si="1"/>
        <v>19</v>
      </c>
      <c r="EI3">
        <f t="shared" si="1"/>
        <v>19</v>
      </c>
      <c r="EJ3">
        <f t="shared" ref="EJ3:GU3" si="2">WEEKNUM(EJ5,1)</f>
        <v>19</v>
      </c>
      <c r="EK3">
        <f t="shared" si="2"/>
        <v>20</v>
      </c>
      <c r="EL3">
        <f t="shared" si="2"/>
        <v>20</v>
      </c>
      <c r="EM3">
        <f t="shared" si="2"/>
        <v>20</v>
      </c>
      <c r="EN3">
        <f t="shared" si="2"/>
        <v>20</v>
      </c>
      <c r="EO3">
        <f t="shared" si="2"/>
        <v>20</v>
      </c>
      <c r="EP3">
        <f t="shared" si="2"/>
        <v>20</v>
      </c>
      <c r="EQ3">
        <f t="shared" si="2"/>
        <v>20</v>
      </c>
      <c r="ER3">
        <f t="shared" si="2"/>
        <v>21</v>
      </c>
      <c r="ES3">
        <f t="shared" si="2"/>
        <v>21</v>
      </c>
      <c r="ET3">
        <f t="shared" si="2"/>
        <v>21</v>
      </c>
      <c r="EU3">
        <f t="shared" si="2"/>
        <v>21</v>
      </c>
      <c r="EV3">
        <f t="shared" si="2"/>
        <v>21</v>
      </c>
      <c r="EW3">
        <f t="shared" si="2"/>
        <v>21</v>
      </c>
      <c r="EX3">
        <f t="shared" si="2"/>
        <v>21</v>
      </c>
      <c r="EY3">
        <f t="shared" si="2"/>
        <v>22</v>
      </c>
      <c r="EZ3">
        <f t="shared" si="2"/>
        <v>22</v>
      </c>
      <c r="FA3">
        <f t="shared" si="2"/>
        <v>22</v>
      </c>
      <c r="FB3">
        <f t="shared" si="2"/>
        <v>22</v>
      </c>
      <c r="FC3">
        <f t="shared" si="2"/>
        <v>22</v>
      </c>
      <c r="FD3">
        <f t="shared" si="2"/>
        <v>22</v>
      </c>
      <c r="FE3">
        <f t="shared" si="2"/>
        <v>22</v>
      </c>
      <c r="FF3">
        <f t="shared" si="2"/>
        <v>23</v>
      </c>
      <c r="FG3">
        <f t="shared" si="2"/>
        <v>23</v>
      </c>
      <c r="FH3">
        <f t="shared" si="2"/>
        <v>23</v>
      </c>
      <c r="FI3">
        <f t="shared" si="2"/>
        <v>23</v>
      </c>
      <c r="FJ3">
        <f t="shared" si="2"/>
        <v>23</v>
      </c>
      <c r="FK3">
        <f t="shared" si="2"/>
        <v>23</v>
      </c>
      <c r="FL3">
        <f t="shared" si="2"/>
        <v>23</v>
      </c>
      <c r="FM3">
        <f t="shared" si="2"/>
        <v>24</v>
      </c>
      <c r="FN3">
        <f t="shared" si="2"/>
        <v>24</v>
      </c>
      <c r="FO3">
        <f t="shared" si="2"/>
        <v>24</v>
      </c>
      <c r="FP3">
        <f t="shared" si="2"/>
        <v>24</v>
      </c>
      <c r="FQ3">
        <f t="shared" si="2"/>
        <v>24</v>
      </c>
      <c r="FR3">
        <f t="shared" si="2"/>
        <v>24</v>
      </c>
      <c r="FS3">
        <f t="shared" si="2"/>
        <v>24</v>
      </c>
      <c r="FT3">
        <f t="shared" si="2"/>
        <v>25</v>
      </c>
      <c r="FU3">
        <f t="shared" si="2"/>
        <v>25</v>
      </c>
      <c r="FV3">
        <f t="shared" si="2"/>
        <v>25</v>
      </c>
      <c r="FW3">
        <f t="shared" si="2"/>
        <v>25</v>
      </c>
      <c r="FX3">
        <f t="shared" si="2"/>
        <v>25</v>
      </c>
      <c r="FY3">
        <f t="shared" si="2"/>
        <v>25</v>
      </c>
      <c r="FZ3">
        <f t="shared" si="2"/>
        <v>25</v>
      </c>
      <c r="GA3">
        <f t="shared" si="2"/>
        <v>26</v>
      </c>
      <c r="GB3">
        <f t="shared" si="2"/>
        <v>26</v>
      </c>
      <c r="GC3">
        <f t="shared" si="2"/>
        <v>26</v>
      </c>
      <c r="GD3">
        <f t="shared" si="2"/>
        <v>26</v>
      </c>
      <c r="GE3">
        <f t="shared" si="2"/>
        <v>26</v>
      </c>
      <c r="GF3">
        <f t="shared" si="2"/>
        <v>26</v>
      </c>
      <c r="GG3">
        <f t="shared" si="2"/>
        <v>26</v>
      </c>
      <c r="GH3">
        <f t="shared" si="2"/>
        <v>27</v>
      </c>
      <c r="GI3">
        <f t="shared" si="2"/>
        <v>27</v>
      </c>
      <c r="GJ3">
        <f t="shared" si="2"/>
        <v>27</v>
      </c>
      <c r="GK3">
        <f t="shared" si="2"/>
        <v>27</v>
      </c>
      <c r="GL3">
        <f t="shared" si="2"/>
        <v>27</v>
      </c>
      <c r="GM3">
        <f t="shared" si="2"/>
        <v>27</v>
      </c>
      <c r="GN3">
        <f t="shared" si="2"/>
        <v>27</v>
      </c>
      <c r="GO3">
        <f t="shared" si="2"/>
        <v>28</v>
      </c>
      <c r="GP3">
        <f t="shared" si="2"/>
        <v>28</v>
      </c>
      <c r="GQ3">
        <f t="shared" si="2"/>
        <v>28</v>
      </c>
      <c r="GR3">
        <f t="shared" si="2"/>
        <v>28</v>
      </c>
      <c r="GS3">
        <f t="shared" si="2"/>
        <v>28</v>
      </c>
      <c r="GT3">
        <f t="shared" si="2"/>
        <v>28</v>
      </c>
      <c r="GU3">
        <f t="shared" si="2"/>
        <v>28</v>
      </c>
      <c r="GV3">
        <f t="shared" ref="GV3:JG3" si="3">WEEKNUM(GV5,1)</f>
        <v>29</v>
      </c>
      <c r="GW3">
        <f t="shared" si="3"/>
        <v>29</v>
      </c>
      <c r="GX3">
        <f t="shared" si="3"/>
        <v>29</v>
      </c>
      <c r="GY3">
        <f t="shared" si="3"/>
        <v>29</v>
      </c>
      <c r="GZ3">
        <f t="shared" si="3"/>
        <v>29</v>
      </c>
      <c r="HA3">
        <f t="shared" si="3"/>
        <v>29</v>
      </c>
      <c r="HB3">
        <f t="shared" si="3"/>
        <v>29</v>
      </c>
      <c r="HC3">
        <f t="shared" si="3"/>
        <v>30</v>
      </c>
      <c r="HD3">
        <f t="shared" si="3"/>
        <v>30</v>
      </c>
      <c r="HE3">
        <f t="shared" si="3"/>
        <v>30</v>
      </c>
      <c r="HF3">
        <f t="shared" si="3"/>
        <v>30</v>
      </c>
      <c r="HG3">
        <f t="shared" si="3"/>
        <v>30</v>
      </c>
      <c r="HH3">
        <f t="shared" si="3"/>
        <v>30</v>
      </c>
      <c r="HI3">
        <f t="shared" si="3"/>
        <v>30</v>
      </c>
      <c r="HJ3">
        <f t="shared" si="3"/>
        <v>31</v>
      </c>
      <c r="HK3">
        <f t="shared" si="3"/>
        <v>31</v>
      </c>
      <c r="HL3">
        <f t="shared" si="3"/>
        <v>31</v>
      </c>
      <c r="HM3">
        <f t="shared" si="3"/>
        <v>31</v>
      </c>
      <c r="HN3">
        <f t="shared" si="3"/>
        <v>31</v>
      </c>
      <c r="HO3">
        <f t="shared" si="3"/>
        <v>31</v>
      </c>
      <c r="HP3">
        <f t="shared" si="3"/>
        <v>31</v>
      </c>
      <c r="HQ3">
        <f t="shared" si="3"/>
        <v>32</v>
      </c>
      <c r="HR3">
        <f t="shared" si="3"/>
        <v>32</v>
      </c>
      <c r="HS3">
        <f t="shared" si="3"/>
        <v>32</v>
      </c>
      <c r="HT3">
        <f t="shared" si="3"/>
        <v>32</v>
      </c>
      <c r="HU3">
        <f t="shared" si="3"/>
        <v>32</v>
      </c>
      <c r="HV3">
        <f t="shared" si="3"/>
        <v>32</v>
      </c>
      <c r="HW3">
        <f t="shared" si="3"/>
        <v>32</v>
      </c>
      <c r="HX3">
        <f t="shared" si="3"/>
        <v>33</v>
      </c>
      <c r="HY3">
        <f t="shared" si="3"/>
        <v>33</v>
      </c>
      <c r="HZ3">
        <f t="shared" si="3"/>
        <v>33</v>
      </c>
      <c r="IA3">
        <f t="shared" si="3"/>
        <v>33</v>
      </c>
      <c r="IB3">
        <f t="shared" si="3"/>
        <v>33</v>
      </c>
      <c r="IC3">
        <f t="shared" si="3"/>
        <v>33</v>
      </c>
      <c r="ID3">
        <f t="shared" si="3"/>
        <v>33</v>
      </c>
      <c r="IE3">
        <f t="shared" si="3"/>
        <v>34</v>
      </c>
      <c r="IF3">
        <f t="shared" si="3"/>
        <v>34</v>
      </c>
      <c r="IG3">
        <f t="shared" si="3"/>
        <v>34</v>
      </c>
      <c r="IH3">
        <f t="shared" si="3"/>
        <v>34</v>
      </c>
      <c r="II3">
        <f t="shared" si="3"/>
        <v>34</v>
      </c>
      <c r="IJ3">
        <f t="shared" si="3"/>
        <v>34</v>
      </c>
      <c r="IK3">
        <f t="shared" si="3"/>
        <v>34</v>
      </c>
      <c r="IL3">
        <f t="shared" si="3"/>
        <v>35</v>
      </c>
      <c r="IM3">
        <f t="shared" si="3"/>
        <v>35</v>
      </c>
      <c r="IN3">
        <f t="shared" si="3"/>
        <v>35</v>
      </c>
      <c r="IO3">
        <f t="shared" si="3"/>
        <v>35</v>
      </c>
      <c r="IP3">
        <f t="shared" si="3"/>
        <v>35</v>
      </c>
      <c r="IQ3">
        <f t="shared" si="3"/>
        <v>35</v>
      </c>
      <c r="IR3">
        <f t="shared" si="3"/>
        <v>35</v>
      </c>
      <c r="IS3">
        <f t="shared" si="3"/>
        <v>36</v>
      </c>
      <c r="IT3">
        <f t="shared" si="3"/>
        <v>36</v>
      </c>
      <c r="IU3">
        <f t="shared" si="3"/>
        <v>36</v>
      </c>
      <c r="IV3">
        <f t="shared" si="3"/>
        <v>36</v>
      </c>
      <c r="IW3">
        <f t="shared" si="3"/>
        <v>36</v>
      </c>
      <c r="IX3">
        <f t="shared" si="3"/>
        <v>36</v>
      </c>
      <c r="IY3">
        <f t="shared" si="3"/>
        <v>36</v>
      </c>
      <c r="IZ3">
        <f t="shared" si="3"/>
        <v>37</v>
      </c>
      <c r="JA3">
        <f t="shared" si="3"/>
        <v>37</v>
      </c>
      <c r="JB3">
        <f t="shared" si="3"/>
        <v>37</v>
      </c>
      <c r="JC3">
        <f t="shared" si="3"/>
        <v>37</v>
      </c>
      <c r="JD3">
        <f t="shared" si="3"/>
        <v>37</v>
      </c>
      <c r="JE3">
        <f t="shared" si="3"/>
        <v>37</v>
      </c>
      <c r="JF3">
        <f t="shared" si="3"/>
        <v>37</v>
      </c>
      <c r="JG3">
        <f t="shared" si="3"/>
        <v>38</v>
      </c>
      <c r="JH3">
        <f t="shared" ref="JH3:LS3" si="4">WEEKNUM(JH5,1)</f>
        <v>38</v>
      </c>
      <c r="JI3">
        <f t="shared" si="4"/>
        <v>38</v>
      </c>
      <c r="JJ3">
        <f t="shared" si="4"/>
        <v>38</v>
      </c>
      <c r="JK3">
        <f t="shared" si="4"/>
        <v>38</v>
      </c>
      <c r="JL3">
        <f t="shared" si="4"/>
        <v>38</v>
      </c>
      <c r="JM3">
        <f t="shared" si="4"/>
        <v>38</v>
      </c>
      <c r="JN3">
        <f t="shared" si="4"/>
        <v>39</v>
      </c>
      <c r="JO3">
        <f t="shared" si="4"/>
        <v>39</v>
      </c>
      <c r="JP3">
        <f t="shared" si="4"/>
        <v>39</v>
      </c>
      <c r="JQ3">
        <f t="shared" si="4"/>
        <v>39</v>
      </c>
      <c r="JR3">
        <f t="shared" si="4"/>
        <v>39</v>
      </c>
      <c r="JS3">
        <f t="shared" si="4"/>
        <v>39</v>
      </c>
      <c r="JT3">
        <f t="shared" si="4"/>
        <v>39</v>
      </c>
      <c r="JU3">
        <f t="shared" si="4"/>
        <v>40</v>
      </c>
      <c r="JV3">
        <f t="shared" si="4"/>
        <v>40</v>
      </c>
      <c r="JW3">
        <f t="shared" si="4"/>
        <v>40</v>
      </c>
      <c r="JX3">
        <f t="shared" si="4"/>
        <v>40</v>
      </c>
      <c r="JY3">
        <f t="shared" si="4"/>
        <v>40</v>
      </c>
      <c r="JZ3">
        <f t="shared" si="4"/>
        <v>40</v>
      </c>
      <c r="KA3">
        <f t="shared" si="4"/>
        <v>40</v>
      </c>
      <c r="KB3">
        <f t="shared" si="4"/>
        <v>41</v>
      </c>
      <c r="KC3">
        <f t="shared" si="4"/>
        <v>41</v>
      </c>
      <c r="KD3">
        <f t="shared" si="4"/>
        <v>41</v>
      </c>
      <c r="KE3">
        <f t="shared" si="4"/>
        <v>41</v>
      </c>
      <c r="KF3">
        <f t="shared" si="4"/>
        <v>41</v>
      </c>
      <c r="KG3">
        <f t="shared" si="4"/>
        <v>41</v>
      </c>
      <c r="KH3">
        <f t="shared" si="4"/>
        <v>41</v>
      </c>
      <c r="KI3">
        <f t="shared" si="4"/>
        <v>42</v>
      </c>
      <c r="KJ3">
        <f t="shared" si="4"/>
        <v>42</v>
      </c>
      <c r="KK3">
        <f t="shared" si="4"/>
        <v>42</v>
      </c>
      <c r="KL3">
        <f t="shared" si="4"/>
        <v>42</v>
      </c>
      <c r="KM3">
        <f t="shared" si="4"/>
        <v>42</v>
      </c>
      <c r="KN3">
        <f t="shared" si="4"/>
        <v>42</v>
      </c>
      <c r="KO3">
        <f t="shared" si="4"/>
        <v>42</v>
      </c>
      <c r="KP3">
        <f t="shared" si="4"/>
        <v>43</v>
      </c>
      <c r="KQ3">
        <f t="shared" si="4"/>
        <v>43</v>
      </c>
      <c r="KR3">
        <f t="shared" si="4"/>
        <v>43</v>
      </c>
      <c r="KS3">
        <f t="shared" si="4"/>
        <v>43</v>
      </c>
      <c r="KT3">
        <f t="shared" si="4"/>
        <v>43</v>
      </c>
      <c r="KU3">
        <f t="shared" si="4"/>
        <v>43</v>
      </c>
      <c r="KV3">
        <f t="shared" si="4"/>
        <v>43</v>
      </c>
      <c r="KW3">
        <f t="shared" si="4"/>
        <v>44</v>
      </c>
      <c r="KX3">
        <f t="shared" si="4"/>
        <v>44</v>
      </c>
      <c r="KY3">
        <f t="shared" si="4"/>
        <v>44</v>
      </c>
      <c r="KZ3">
        <f t="shared" si="4"/>
        <v>44</v>
      </c>
      <c r="LA3">
        <f t="shared" si="4"/>
        <v>44</v>
      </c>
      <c r="LB3">
        <f t="shared" si="4"/>
        <v>44</v>
      </c>
      <c r="LC3">
        <f t="shared" si="4"/>
        <v>44</v>
      </c>
      <c r="LD3">
        <f t="shared" si="4"/>
        <v>45</v>
      </c>
      <c r="LE3">
        <f t="shared" si="4"/>
        <v>45</v>
      </c>
      <c r="LF3">
        <f t="shared" si="4"/>
        <v>45</v>
      </c>
      <c r="LG3">
        <f t="shared" si="4"/>
        <v>45</v>
      </c>
      <c r="LH3">
        <f t="shared" si="4"/>
        <v>45</v>
      </c>
      <c r="LI3">
        <f t="shared" si="4"/>
        <v>45</v>
      </c>
      <c r="LJ3">
        <f t="shared" si="4"/>
        <v>45</v>
      </c>
      <c r="LK3">
        <f t="shared" si="4"/>
        <v>46</v>
      </c>
      <c r="LL3">
        <f t="shared" si="4"/>
        <v>46</v>
      </c>
      <c r="LM3">
        <f t="shared" si="4"/>
        <v>46</v>
      </c>
      <c r="LN3">
        <f t="shared" si="4"/>
        <v>46</v>
      </c>
      <c r="LO3">
        <f t="shared" si="4"/>
        <v>46</v>
      </c>
      <c r="LP3">
        <f t="shared" si="4"/>
        <v>46</v>
      </c>
      <c r="LQ3">
        <f t="shared" si="4"/>
        <v>46</v>
      </c>
      <c r="LR3">
        <f t="shared" si="4"/>
        <v>47</v>
      </c>
      <c r="LS3">
        <f t="shared" si="4"/>
        <v>47</v>
      </c>
      <c r="LT3">
        <f t="shared" ref="LT3:RX3" si="5">WEEKNUM(LT5,1)</f>
        <v>47</v>
      </c>
      <c r="LU3">
        <f t="shared" si="5"/>
        <v>47</v>
      </c>
      <c r="LV3">
        <f t="shared" si="5"/>
        <v>47</v>
      </c>
      <c r="LW3">
        <f t="shared" si="5"/>
        <v>47</v>
      </c>
      <c r="LX3">
        <f t="shared" si="5"/>
        <v>47</v>
      </c>
      <c r="LY3">
        <f t="shared" si="5"/>
        <v>48</v>
      </c>
      <c r="LZ3">
        <f t="shared" si="5"/>
        <v>48</v>
      </c>
      <c r="MA3">
        <f t="shared" si="5"/>
        <v>48</v>
      </c>
      <c r="MB3">
        <f t="shared" si="5"/>
        <v>48</v>
      </c>
      <c r="MC3">
        <f t="shared" si="5"/>
        <v>48</v>
      </c>
      <c r="MD3">
        <f t="shared" si="5"/>
        <v>48</v>
      </c>
      <c r="ME3">
        <f t="shared" si="5"/>
        <v>48</v>
      </c>
      <c r="MF3">
        <f t="shared" si="5"/>
        <v>49</v>
      </c>
      <c r="MG3">
        <f t="shared" si="5"/>
        <v>49</v>
      </c>
      <c r="MH3">
        <f t="shared" si="5"/>
        <v>49</v>
      </c>
      <c r="MI3">
        <f t="shared" si="5"/>
        <v>49</v>
      </c>
      <c r="MJ3">
        <f t="shared" si="5"/>
        <v>49</v>
      </c>
      <c r="MK3">
        <f t="shared" si="5"/>
        <v>49</v>
      </c>
      <c r="ML3">
        <f t="shared" si="5"/>
        <v>49</v>
      </c>
      <c r="MM3">
        <f t="shared" si="5"/>
        <v>50</v>
      </c>
      <c r="MN3">
        <f t="shared" si="5"/>
        <v>50</v>
      </c>
      <c r="MO3">
        <f t="shared" si="5"/>
        <v>50</v>
      </c>
      <c r="MP3">
        <f t="shared" si="5"/>
        <v>50</v>
      </c>
      <c r="MQ3">
        <f t="shared" si="5"/>
        <v>50</v>
      </c>
      <c r="MR3">
        <f t="shared" si="5"/>
        <v>50</v>
      </c>
      <c r="MS3">
        <f t="shared" si="5"/>
        <v>50</v>
      </c>
      <c r="MT3">
        <f t="shared" si="5"/>
        <v>51</v>
      </c>
      <c r="MU3">
        <f t="shared" si="5"/>
        <v>51</v>
      </c>
      <c r="MV3">
        <f t="shared" si="5"/>
        <v>51</v>
      </c>
      <c r="MW3">
        <f t="shared" si="5"/>
        <v>51</v>
      </c>
      <c r="MX3">
        <f t="shared" si="5"/>
        <v>51</v>
      </c>
      <c r="MY3">
        <f t="shared" si="5"/>
        <v>51</v>
      </c>
      <c r="MZ3">
        <f t="shared" si="5"/>
        <v>51</v>
      </c>
      <c r="NA3">
        <f t="shared" si="5"/>
        <v>52</v>
      </c>
      <c r="NB3">
        <f t="shared" si="5"/>
        <v>52</v>
      </c>
      <c r="NC3">
        <f t="shared" si="5"/>
        <v>52</v>
      </c>
      <c r="ND3">
        <f t="shared" si="5"/>
        <v>52</v>
      </c>
      <c r="NE3">
        <f t="shared" si="5"/>
        <v>52</v>
      </c>
      <c r="NF3">
        <f t="shared" si="5"/>
        <v>52</v>
      </c>
      <c r="NG3">
        <f t="shared" si="5"/>
        <v>52</v>
      </c>
      <c r="NH3">
        <f t="shared" si="5"/>
        <v>53</v>
      </c>
      <c r="NI3">
        <f t="shared" si="5"/>
        <v>53</v>
      </c>
      <c r="NJ3">
        <f t="shared" si="5"/>
        <v>53</v>
      </c>
      <c r="NK3">
        <f t="shared" si="5"/>
        <v>53</v>
      </c>
      <c r="NL3">
        <f t="shared" si="5"/>
        <v>53</v>
      </c>
      <c r="NM3">
        <f t="shared" si="5"/>
        <v>1</v>
      </c>
      <c r="NN3">
        <f t="shared" si="5"/>
        <v>1</v>
      </c>
      <c r="NO3">
        <f t="shared" si="5"/>
        <v>2</v>
      </c>
      <c r="NP3">
        <f t="shared" si="5"/>
        <v>2</v>
      </c>
      <c r="NQ3">
        <f t="shared" si="5"/>
        <v>2</v>
      </c>
      <c r="NR3">
        <f t="shared" si="5"/>
        <v>2</v>
      </c>
      <c r="NS3">
        <f t="shared" si="5"/>
        <v>2</v>
      </c>
      <c r="NT3">
        <f t="shared" si="5"/>
        <v>2</v>
      </c>
      <c r="NU3">
        <f t="shared" si="5"/>
        <v>2</v>
      </c>
      <c r="NV3">
        <f t="shared" si="5"/>
        <v>3</v>
      </c>
      <c r="NW3">
        <f t="shared" si="5"/>
        <v>3</v>
      </c>
      <c r="NX3">
        <f t="shared" si="5"/>
        <v>3</v>
      </c>
      <c r="NY3">
        <f t="shared" si="5"/>
        <v>3</v>
      </c>
      <c r="NZ3">
        <f t="shared" si="5"/>
        <v>3</v>
      </c>
      <c r="OA3">
        <f t="shared" si="5"/>
        <v>3</v>
      </c>
      <c r="OB3">
        <f t="shared" si="5"/>
        <v>3</v>
      </c>
      <c r="OC3">
        <f t="shared" si="5"/>
        <v>4</v>
      </c>
      <c r="OD3">
        <f t="shared" si="5"/>
        <v>4</v>
      </c>
      <c r="OE3">
        <f t="shared" si="5"/>
        <v>4</v>
      </c>
      <c r="OF3">
        <f t="shared" si="5"/>
        <v>4</v>
      </c>
      <c r="OG3">
        <f t="shared" si="5"/>
        <v>4</v>
      </c>
      <c r="OH3">
        <f t="shared" si="5"/>
        <v>4</v>
      </c>
      <c r="OI3">
        <f t="shared" si="5"/>
        <v>4</v>
      </c>
      <c r="OJ3">
        <f t="shared" si="5"/>
        <v>5</v>
      </c>
      <c r="OK3">
        <f t="shared" si="5"/>
        <v>5</v>
      </c>
      <c r="OL3">
        <f t="shared" si="5"/>
        <v>5</v>
      </c>
      <c r="OM3">
        <f t="shared" si="5"/>
        <v>5</v>
      </c>
      <c r="ON3">
        <f t="shared" si="5"/>
        <v>5</v>
      </c>
      <c r="OO3">
        <f t="shared" si="5"/>
        <v>5</v>
      </c>
      <c r="OP3">
        <f t="shared" si="5"/>
        <v>5</v>
      </c>
      <c r="OQ3">
        <f t="shared" si="5"/>
        <v>6</v>
      </c>
      <c r="OR3">
        <f t="shared" si="5"/>
        <v>6</v>
      </c>
      <c r="OS3">
        <f t="shared" si="5"/>
        <v>6</v>
      </c>
      <c r="OT3">
        <f t="shared" si="5"/>
        <v>6</v>
      </c>
      <c r="OU3">
        <f t="shared" si="5"/>
        <v>6</v>
      </c>
      <c r="OV3">
        <f t="shared" si="5"/>
        <v>6</v>
      </c>
      <c r="OW3">
        <f t="shared" si="5"/>
        <v>6</v>
      </c>
      <c r="OX3">
        <f t="shared" si="5"/>
        <v>7</v>
      </c>
      <c r="OY3">
        <f t="shared" si="5"/>
        <v>7</v>
      </c>
      <c r="OZ3">
        <f t="shared" si="5"/>
        <v>7</v>
      </c>
      <c r="PA3">
        <f t="shared" si="5"/>
        <v>7</v>
      </c>
      <c r="PB3">
        <f t="shared" si="5"/>
        <v>7</v>
      </c>
      <c r="PC3">
        <f t="shared" si="5"/>
        <v>7</v>
      </c>
      <c r="PD3">
        <f t="shared" si="5"/>
        <v>7</v>
      </c>
      <c r="PE3">
        <f t="shared" si="5"/>
        <v>8</v>
      </c>
      <c r="PF3">
        <f t="shared" si="5"/>
        <v>8</v>
      </c>
      <c r="PG3">
        <f t="shared" si="5"/>
        <v>8</v>
      </c>
      <c r="PH3">
        <f t="shared" si="5"/>
        <v>8</v>
      </c>
      <c r="PI3">
        <f t="shared" si="5"/>
        <v>8</v>
      </c>
      <c r="PJ3">
        <f t="shared" si="5"/>
        <v>8</v>
      </c>
      <c r="PK3">
        <f t="shared" si="5"/>
        <v>8</v>
      </c>
      <c r="PL3">
        <f t="shared" si="5"/>
        <v>9</v>
      </c>
      <c r="PM3">
        <f t="shared" si="5"/>
        <v>9</v>
      </c>
      <c r="PN3">
        <f t="shared" si="5"/>
        <v>9</v>
      </c>
      <c r="PO3">
        <f t="shared" si="5"/>
        <v>9</v>
      </c>
      <c r="PP3">
        <f t="shared" si="5"/>
        <v>9</v>
      </c>
      <c r="PQ3">
        <f t="shared" si="5"/>
        <v>9</v>
      </c>
      <c r="PR3">
        <f t="shared" si="5"/>
        <v>9</v>
      </c>
      <c r="PS3">
        <f t="shared" si="5"/>
        <v>10</v>
      </c>
      <c r="PT3">
        <f t="shared" si="5"/>
        <v>10</v>
      </c>
      <c r="PU3">
        <f t="shared" si="5"/>
        <v>10</v>
      </c>
      <c r="PV3">
        <f t="shared" si="5"/>
        <v>10</v>
      </c>
      <c r="PW3">
        <f t="shared" si="5"/>
        <v>10</v>
      </c>
      <c r="PX3">
        <f t="shared" si="5"/>
        <v>10</v>
      </c>
      <c r="PY3">
        <f t="shared" si="5"/>
        <v>10</v>
      </c>
      <c r="PZ3">
        <f t="shared" si="5"/>
        <v>11</v>
      </c>
      <c r="QA3">
        <f t="shared" si="5"/>
        <v>11</v>
      </c>
      <c r="QB3">
        <f t="shared" si="5"/>
        <v>11</v>
      </c>
      <c r="QC3">
        <f t="shared" si="5"/>
        <v>11</v>
      </c>
      <c r="QD3">
        <f t="shared" si="5"/>
        <v>11</v>
      </c>
      <c r="QE3">
        <f t="shared" si="5"/>
        <v>11</v>
      </c>
      <c r="QF3">
        <f t="shared" si="5"/>
        <v>11</v>
      </c>
      <c r="QG3">
        <f t="shared" si="5"/>
        <v>12</v>
      </c>
      <c r="QH3">
        <f t="shared" si="5"/>
        <v>12</v>
      </c>
      <c r="QI3">
        <f t="shared" si="5"/>
        <v>12</v>
      </c>
      <c r="QJ3">
        <f t="shared" si="5"/>
        <v>12</v>
      </c>
      <c r="QK3">
        <f t="shared" si="5"/>
        <v>12</v>
      </c>
      <c r="QL3">
        <f t="shared" si="5"/>
        <v>12</v>
      </c>
      <c r="QM3">
        <f t="shared" si="5"/>
        <v>12</v>
      </c>
      <c r="QN3">
        <f t="shared" si="5"/>
        <v>13</v>
      </c>
      <c r="QO3">
        <f t="shared" si="5"/>
        <v>13</v>
      </c>
      <c r="QP3">
        <f t="shared" si="5"/>
        <v>13</v>
      </c>
      <c r="QQ3">
        <f t="shared" si="5"/>
        <v>13</v>
      </c>
      <c r="QR3">
        <f t="shared" si="5"/>
        <v>13</v>
      </c>
      <c r="QS3">
        <f t="shared" si="5"/>
        <v>13</v>
      </c>
      <c r="QT3">
        <f t="shared" si="5"/>
        <v>13</v>
      </c>
      <c r="QU3">
        <f t="shared" si="5"/>
        <v>14</v>
      </c>
      <c r="QV3">
        <f t="shared" si="5"/>
        <v>14</v>
      </c>
      <c r="QW3">
        <f t="shared" si="5"/>
        <v>14</v>
      </c>
      <c r="QX3">
        <f t="shared" si="5"/>
        <v>14</v>
      </c>
      <c r="QY3">
        <f t="shared" si="5"/>
        <v>14</v>
      </c>
      <c r="QZ3">
        <f t="shared" si="5"/>
        <v>14</v>
      </c>
      <c r="RA3">
        <f t="shared" si="5"/>
        <v>14</v>
      </c>
      <c r="RB3">
        <f t="shared" si="5"/>
        <v>15</v>
      </c>
      <c r="RC3">
        <f t="shared" si="5"/>
        <v>15</v>
      </c>
      <c r="RD3">
        <f t="shared" si="5"/>
        <v>15</v>
      </c>
      <c r="RE3">
        <f t="shared" si="5"/>
        <v>15</v>
      </c>
      <c r="RF3">
        <f t="shared" si="5"/>
        <v>15</v>
      </c>
      <c r="RG3">
        <f t="shared" si="5"/>
        <v>15</v>
      </c>
      <c r="RH3">
        <f t="shared" si="5"/>
        <v>15</v>
      </c>
      <c r="RI3">
        <f t="shared" si="5"/>
        <v>16</v>
      </c>
      <c r="RJ3">
        <f t="shared" si="5"/>
        <v>16</v>
      </c>
      <c r="RK3">
        <f t="shared" si="5"/>
        <v>16</v>
      </c>
      <c r="RL3">
        <f t="shared" si="5"/>
        <v>16</v>
      </c>
      <c r="RM3">
        <f t="shared" si="5"/>
        <v>16</v>
      </c>
      <c r="RN3">
        <f t="shared" si="5"/>
        <v>16</v>
      </c>
      <c r="RO3">
        <f t="shared" si="5"/>
        <v>16</v>
      </c>
      <c r="RP3">
        <f t="shared" si="5"/>
        <v>17</v>
      </c>
      <c r="RQ3">
        <f t="shared" si="5"/>
        <v>17</v>
      </c>
      <c r="RR3">
        <f t="shared" si="5"/>
        <v>17</v>
      </c>
      <c r="RS3">
        <f t="shared" si="5"/>
        <v>17</v>
      </c>
      <c r="RT3">
        <f t="shared" si="5"/>
        <v>17</v>
      </c>
      <c r="RU3">
        <f t="shared" si="5"/>
        <v>17</v>
      </c>
      <c r="RV3">
        <f t="shared" si="5"/>
        <v>17</v>
      </c>
      <c r="RW3">
        <f t="shared" si="5"/>
        <v>53</v>
      </c>
      <c r="RX3">
        <f t="shared" si="5"/>
        <v>53</v>
      </c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</row>
    <row r="4" spans="1:551" ht="14.4">
      <c r="K4" s="2" t="s">
        <v>9</v>
      </c>
      <c r="HO4" s="32"/>
    </row>
    <row r="5" spans="1:551" s="12" customFormat="1" ht="66.900000000000006" customHeight="1">
      <c r="A5" s="6" t="s">
        <v>10</v>
      </c>
      <c r="B5" s="7" t="s">
        <v>11</v>
      </c>
      <c r="C5" s="7" t="s">
        <v>12</v>
      </c>
      <c r="D5" s="7" t="s">
        <v>13</v>
      </c>
      <c r="E5" s="8" t="s">
        <v>14</v>
      </c>
      <c r="F5" s="8" t="s">
        <v>15</v>
      </c>
      <c r="G5" s="7" t="s">
        <v>16</v>
      </c>
      <c r="H5" s="8" t="s">
        <v>17</v>
      </c>
      <c r="I5" s="8" t="s">
        <v>18</v>
      </c>
      <c r="J5" s="7" t="s">
        <v>19</v>
      </c>
      <c r="K5" s="7" t="s">
        <v>20</v>
      </c>
      <c r="L5" s="9">
        <v>46023</v>
      </c>
      <c r="M5" s="9">
        <v>46024</v>
      </c>
      <c r="N5" s="9">
        <v>46025</v>
      </c>
      <c r="O5" s="9">
        <v>46026</v>
      </c>
      <c r="P5" s="9">
        <v>46027</v>
      </c>
      <c r="Q5" s="9">
        <v>46028</v>
      </c>
      <c r="R5" s="9">
        <v>46029</v>
      </c>
      <c r="S5" s="9">
        <v>46030</v>
      </c>
      <c r="T5" s="9">
        <v>46031</v>
      </c>
      <c r="U5" s="9">
        <v>46032</v>
      </c>
      <c r="V5" s="9">
        <v>46033</v>
      </c>
      <c r="W5" s="9">
        <v>46034</v>
      </c>
      <c r="X5" s="9">
        <v>46035</v>
      </c>
      <c r="Y5" s="9">
        <v>46036</v>
      </c>
      <c r="Z5" s="9">
        <v>46037</v>
      </c>
      <c r="AA5" s="9">
        <v>46038</v>
      </c>
      <c r="AB5" s="9">
        <v>46039</v>
      </c>
      <c r="AC5" s="9">
        <v>46040</v>
      </c>
      <c r="AD5" s="9">
        <v>46041</v>
      </c>
      <c r="AE5" s="9">
        <v>46042</v>
      </c>
      <c r="AF5" s="9">
        <v>46043</v>
      </c>
      <c r="AG5" s="9">
        <v>46044</v>
      </c>
      <c r="AH5" s="9">
        <v>46045</v>
      </c>
      <c r="AI5" s="9">
        <v>46046</v>
      </c>
      <c r="AJ5" s="9">
        <v>46047</v>
      </c>
      <c r="AK5" s="9">
        <v>46048</v>
      </c>
      <c r="AL5" s="9">
        <v>46049</v>
      </c>
      <c r="AM5" s="9">
        <v>46050</v>
      </c>
      <c r="AN5" s="9">
        <v>46051</v>
      </c>
      <c r="AO5" s="9">
        <v>46052</v>
      </c>
      <c r="AP5" s="9">
        <v>46053</v>
      </c>
      <c r="AQ5" s="9">
        <v>46054</v>
      </c>
      <c r="AR5" s="9">
        <v>46055</v>
      </c>
      <c r="AS5" s="9">
        <v>46056</v>
      </c>
      <c r="AT5" s="9">
        <v>46057</v>
      </c>
      <c r="AU5" s="9">
        <v>46058</v>
      </c>
      <c r="AV5" s="9">
        <v>46059</v>
      </c>
      <c r="AW5" s="9">
        <v>46060</v>
      </c>
      <c r="AX5" s="9">
        <v>46061</v>
      </c>
      <c r="AY5" s="9">
        <v>46062</v>
      </c>
      <c r="AZ5" s="9">
        <v>46063</v>
      </c>
      <c r="BA5" s="9">
        <v>46064</v>
      </c>
      <c r="BB5" s="9">
        <v>46065</v>
      </c>
      <c r="BC5" s="9">
        <v>46066</v>
      </c>
      <c r="BD5" s="9">
        <v>46067</v>
      </c>
      <c r="BE5" s="9">
        <v>46068</v>
      </c>
      <c r="BF5" s="9">
        <v>46069</v>
      </c>
      <c r="BG5" s="9">
        <v>46070</v>
      </c>
      <c r="BH5" s="9">
        <v>46071</v>
      </c>
      <c r="BI5" s="9">
        <v>46072</v>
      </c>
      <c r="BJ5" s="9">
        <v>46073</v>
      </c>
      <c r="BK5" s="9">
        <v>46074</v>
      </c>
      <c r="BL5" s="9">
        <v>46075</v>
      </c>
      <c r="BM5" s="9">
        <v>46076</v>
      </c>
      <c r="BN5" s="9">
        <v>46077</v>
      </c>
      <c r="BO5" s="9">
        <v>46078</v>
      </c>
      <c r="BP5" s="9">
        <v>46079</v>
      </c>
      <c r="BQ5" s="9">
        <v>46080</v>
      </c>
      <c r="BR5" s="9">
        <v>46081</v>
      </c>
      <c r="BS5" s="9">
        <v>46082</v>
      </c>
      <c r="BT5" s="9">
        <v>46083</v>
      </c>
      <c r="BU5" s="9">
        <v>46084</v>
      </c>
      <c r="BV5" s="9">
        <v>46085</v>
      </c>
      <c r="BW5" s="9">
        <v>46086</v>
      </c>
      <c r="BX5" s="9">
        <v>46087</v>
      </c>
      <c r="BY5" s="9">
        <v>46088</v>
      </c>
      <c r="BZ5" s="9">
        <v>46089</v>
      </c>
      <c r="CA5" s="9">
        <v>46090</v>
      </c>
      <c r="CB5" s="9">
        <v>46091</v>
      </c>
      <c r="CC5" s="9">
        <v>46092</v>
      </c>
      <c r="CD5" s="9">
        <v>46093</v>
      </c>
      <c r="CE5" s="9">
        <v>46094</v>
      </c>
      <c r="CF5" s="9">
        <v>46095</v>
      </c>
      <c r="CG5" s="9">
        <v>46096</v>
      </c>
      <c r="CH5" s="9">
        <v>46097</v>
      </c>
      <c r="CI5" s="9">
        <v>46098</v>
      </c>
      <c r="CJ5" s="9">
        <v>46099</v>
      </c>
      <c r="CK5" s="9">
        <v>46100</v>
      </c>
      <c r="CL5" s="9">
        <v>46101</v>
      </c>
      <c r="CM5" s="9">
        <v>46102</v>
      </c>
      <c r="CN5" s="9">
        <v>46103</v>
      </c>
      <c r="CO5" s="9">
        <v>46104</v>
      </c>
      <c r="CP5" s="9">
        <v>46105</v>
      </c>
      <c r="CQ5" s="9">
        <v>46106</v>
      </c>
      <c r="CR5" s="9">
        <v>46107</v>
      </c>
      <c r="CS5" s="9">
        <v>46108</v>
      </c>
      <c r="CT5" s="9">
        <v>46109</v>
      </c>
      <c r="CU5" s="9">
        <v>46110</v>
      </c>
      <c r="CV5" s="9">
        <v>46111</v>
      </c>
      <c r="CW5" s="9">
        <v>46112</v>
      </c>
      <c r="CX5" s="9">
        <v>46113</v>
      </c>
      <c r="CY5" s="9">
        <v>46114</v>
      </c>
      <c r="CZ5" s="9">
        <v>46115</v>
      </c>
      <c r="DA5" s="9">
        <v>46116</v>
      </c>
      <c r="DB5" s="9">
        <v>46117</v>
      </c>
      <c r="DC5" s="9">
        <v>46118</v>
      </c>
      <c r="DD5" s="9">
        <v>46119</v>
      </c>
      <c r="DE5" s="9">
        <v>46120</v>
      </c>
      <c r="DF5" s="9">
        <v>46121</v>
      </c>
      <c r="DG5" s="9">
        <v>46122</v>
      </c>
      <c r="DH5" s="9">
        <v>46123</v>
      </c>
      <c r="DI5" s="9">
        <v>46124</v>
      </c>
      <c r="DJ5" s="9">
        <v>46125</v>
      </c>
      <c r="DK5" s="9">
        <v>46126</v>
      </c>
      <c r="DL5" s="9">
        <v>46127</v>
      </c>
      <c r="DM5" s="9">
        <v>46128</v>
      </c>
      <c r="DN5" s="9">
        <v>46129</v>
      </c>
      <c r="DO5" s="9">
        <v>46130</v>
      </c>
      <c r="DP5" s="9">
        <v>46131</v>
      </c>
      <c r="DQ5" s="9">
        <v>46132</v>
      </c>
      <c r="DR5" s="9">
        <v>46133</v>
      </c>
      <c r="DS5" s="9">
        <v>46134</v>
      </c>
      <c r="DT5" s="9">
        <v>46135</v>
      </c>
      <c r="DU5" s="9">
        <v>46136</v>
      </c>
      <c r="DV5" s="9">
        <v>46137</v>
      </c>
      <c r="DW5" s="9">
        <v>46138</v>
      </c>
      <c r="DX5" s="9">
        <v>46139</v>
      </c>
      <c r="DY5" s="9">
        <v>46140</v>
      </c>
      <c r="DZ5" s="9">
        <v>46141</v>
      </c>
      <c r="EA5" s="9">
        <v>46142</v>
      </c>
      <c r="EB5" s="9">
        <v>46143</v>
      </c>
      <c r="EC5" s="9">
        <v>46144</v>
      </c>
      <c r="ED5" s="9">
        <v>46145</v>
      </c>
      <c r="EE5" s="9">
        <v>46146</v>
      </c>
      <c r="EF5" s="9">
        <v>46147</v>
      </c>
      <c r="EG5" s="9">
        <v>46148</v>
      </c>
      <c r="EH5" s="9">
        <v>46149</v>
      </c>
      <c r="EI5" s="9">
        <v>46150</v>
      </c>
      <c r="EJ5" s="9">
        <v>46151</v>
      </c>
      <c r="EK5" s="9">
        <v>46152</v>
      </c>
      <c r="EL5" s="9">
        <v>46153</v>
      </c>
      <c r="EM5" s="9">
        <v>46154</v>
      </c>
      <c r="EN5" s="9">
        <v>46155</v>
      </c>
      <c r="EO5" s="9">
        <v>46156</v>
      </c>
      <c r="EP5" s="9">
        <v>46157</v>
      </c>
      <c r="EQ5" s="9">
        <v>46158</v>
      </c>
      <c r="ER5" s="9">
        <v>46159</v>
      </c>
      <c r="ES5" s="9">
        <v>46160</v>
      </c>
      <c r="ET5" s="9">
        <v>46161</v>
      </c>
      <c r="EU5" s="9">
        <v>46162</v>
      </c>
      <c r="EV5" s="9">
        <v>46163</v>
      </c>
      <c r="EW5" s="9">
        <v>46164</v>
      </c>
      <c r="EX5" s="9">
        <v>46165</v>
      </c>
      <c r="EY5" s="9">
        <v>46166</v>
      </c>
      <c r="EZ5" s="9">
        <v>46167</v>
      </c>
      <c r="FA5" s="9">
        <v>46168</v>
      </c>
      <c r="FB5" s="9">
        <v>46169</v>
      </c>
      <c r="FC5" s="9">
        <v>46170</v>
      </c>
      <c r="FD5" s="9">
        <v>46171</v>
      </c>
      <c r="FE5" s="9">
        <v>46172</v>
      </c>
      <c r="FF5" s="9">
        <v>46173</v>
      </c>
      <c r="FG5" s="9">
        <v>46174</v>
      </c>
      <c r="FH5" s="9">
        <v>46175</v>
      </c>
      <c r="FI5" s="9">
        <v>46176</v>
      </c>
      <c r="FJ5" s="9">
        <v>46177</v>
      </c>
      <c r="FK5" s="9">
        <v>46178</v>
      </c>
      <c r="FL5" s="9">
        <v>46179</v>
      </c>
      <c r="FM5" s="9">
        <v>46180</v>
      </c>
      <c r="FN5" s="9">
        <v>46181</v>
      </c>
      <c r="FO5" s="9">
        <v>46182</v>
      </c>
      <c r="FP5" s="9">
        <v>46183</v>
      </c>
      <c r="FQ5" s="9">
        <v>46184</v>
      </c>
      <c r="FR5" s="9">
        <v>46185</v>
      </c>
      <c r="FS5" s="9">
        <v>46186</v>
      </c>
      <c r="FT5" s="9">
        <v>46187</v>
      </c>
      <c r="FU5" s="9">
        <v>46188</v>
      </c>
      <c r="FV5" s="9">
        <v>46189</v>
      </c>
      <c r="FW5" s="9">
        <v>46190</v>
      </c>
      <c r="FX5" s="9">
        <v>46191</v>
      </c>
      <c r="FY5" s="9">
        <v>46192</v>
      </c>
      <c r="FZ5" s="9">
        <v>46193</v>
      </c>
      <c r="GA5" s="9">
        <v>46194</v>
      </c>
      <c r="GB5" s="9">
        <v>46195</v>
      </c>
      <c r="GC5" s="9">
        <v>46196</v>
      </c>
      <c r="GD5" s="9">
        <v>46197</v>
      </c>
      <c r="GE5" s="9">
        <v>46198</v>
      </c>
      <c r="GF5" s="9">
        <v>46199</v>
      </c>
      <c r="GG5" s="9">
        <v>46200</v>
      </c>
      <c r="GH5" s="9">
        <v>46201</v>
      </c>
      <c r="GI5" s="9">
        <v>46202</v>
      </c>
      <c r="GJ5" s="9">
        <v>46203</v>
      </c>
      <c r="GK5" s="9">
        <v>46204</v>
      </c>
      <c r="GL5" s="9">
        <v>46205</v>
      </c>
      <c r="GM5" s="9">
        <v>46206</v>
      </c>
      <c r="GN5" s="9">
        <v>46207</v>
      </c>
      <c r="GO5" s="9">
        <v>46208</v>
      </c>
      <c r="GP5" s="9">
        <v>46209</v>
      </c>
      <c r="GQ5" s="9">
        <v>46210</v>
      </c>
      <c r="GR5" s="9">
        <v>46211</v>
      </c>
      <c r="GS5" s="9">
        <v>46212</v>
      </c>
      <c r="GT5" s="9">
        <v>46213</v>
      </c>
      <c r="GU5" s="9">
        <v>46214</v>
      </c>
      <c r="GV5" s="9">
        <v>46215</v>
      </c>
      <c r="GW5" s="9">
        <v>46216</v>
      </c>
      <c r="GX5" s="9">
        <v>46217</v>
      </c>
      <c r="GY5" s="9">
        <v>46218</v>
      </c>
      <c r="GZ5" s="9">
        <v>46219</v>
      </c>
      <c r="HA5" s="9">
        <v>46220</v>
      </c>
      <c r="HB5" s="9">
        <v>46221</v>
      </c>
      <c r="HC5" s="9">
        <v>46222</v>
      </c>
      <c r="HD5" s="9">
        <v>46223</v>
      </c>
      <c r="HE5" s="9">
        <v>46224</v>
      </c>
      <c r="HF5" s="9">
        <v>46225</v>
      </c>
      <c r="HG5" s="9">
        <v>46226</v>
      </c>
      <c r="HH5" s="9">
        <v>46227</v>
      </c>
      <c r="HI5" s="9">
        <v>46228</v>
      </c>
      <c r="HJ5" s="9">
        <v>46229</v>
      </c>
      <c r="HK5" s="9">
        <v>46230</v>
      </c>
      <c r="HL5" s="9">
        <v>46231</v>
      </c>
      <c r="HM5" s="9">
        <v>46232</v>
      </c>
      <c r="HN5" s="9">
        <v>46233</v>
      </c>
      <c r="HO5" s="9">
        <v>46234</v>
      </c>
      <c r="HP5" s="9">
        <v>46235</v>
      </c>
      <c r="HQ5" s="9">
        <v>46236</v>
      </c>
      <c r="HR5" s="9">
        <v>46237</v>
      </c>
      <c r="HS5" s="9">
        <v>46238</v>
      </c>
      <c r="HT5" s="9">
        <v>46239</v>
      </c>
      <c r="HU5" s="9">
        <v>46240</v>
      </c>
      <c r="HV5" s="9">
        <v>46241</v>
      </c>
      <c r="HW5" s="9">
        <v>46242</v>
      </c>
      <c r="HX5" s="9">
        <v>46243</v>
      </c>
      <c r="HY5" s="9">
        <v>46244</v>
      </c>
      <c r="HZ5" s="9">
        <v>46245</v>
      </c>
      <c r="IA5" s="9">
        <v>46246</v>
      </c>
      <c r="IB5" s="9">
        <v>46247</v>
      </c>
      <c r="IC5" s="9">
        <v>46248</v>
      </c>
      <c r="ID5" s="9">
        <v>46249</v>
      </c>
      <c r="IE5" s="9">
        <v>46250</v>
      </c>
      <c r="IF5" s="9">
        <v>46251</v>
      </c>
      <c r="IG5" s="9">
        <v>46252</v>
      </c>
      <c r="IH5" s="9">
        <v>46253</v>
      </c>
      <c r="II5" s="9">
        <v>46254</v>
      </c>
      <c r="IJ5" s="9">
        <v>46255</v>
      </c>
      <c r="IK5" s="9">
        <v>46256</v>
      </c>
      <c r="IL5" s="9">
        <v>46257</v>
      </c>
      <c r="IM5" s="9">
        <v>46258</v>
      </c>
      <c r="IN5" s="9">
        <v>46259</v>
      </c>
      <c r="IO5" s="9">
        <v>46260</v>
      </c>
      <c r="IP5" s="9">
        <v>46261</v>
      </c>
      <c r="IQ5" s="9">
        <v>46262</v>
      </c>
      <c r="IR5" s="9">
        <v>46263</v>
      </c>
      <c r="IS5" s="9">
        <v>46264</v>
      </c>
      <c r="IT5" s="9">
        <v>46265</v>
      </c>
      <c r="IU5" s="9">
        <v>46266</v>
      </c>
      <c r="IV5" s="9">
        <v>46267</v>
      </c>
      <c r="IW5" s="9">
        <v>46268</v>
      </c>
      <c r="IX5" s="9">
        <v>46269</v>
      </c>
      <c r="IY5" s="9">
        <v>46270</v>
      </c>
      <c r="IZ5" s="9">
        <v>46271</v>
      </c>
      <c r="JA5" s="9">
        <v>46272</v>
      </c>
      <c r="JB5" s="9">
        <v>46273</v>
      </c>
      <c r="JC5" s="9">
        <v>46274</v>
      </c>
      <c r="JD5" s="9">
        <v>46275</v>
      </c>
      <c r="JE5" s="9">
        <v>46276</v>
      </c>
      <c r="JF5" s="9">
        <v>46277</v>
      </c>
      <c r="JG5" s="9">
        <v>46278</v>
      </c>
      <c r="JH5" s="9">
        <v>46279</v>
      </c>
      <c r="JI5" s="9">
        <v>46280</v>
      </c>
      <c r="JJ5" s="9">
        <v>46281</v>
      </c>
      <c r="JK5" s="9">
        <v>46282</v>
      </c>
      <c r="JL5" s="9">
        <v>46283</v>
      </c>
      <c r="JM5" s="9">
        <v>46284</v>
      </c>
      <c r="JN5" s="9">
        <v>46285</v>
      </c>
      <c r="JO5" s="9">
        <v>46286</v>
      </c>
      <c r="JP5" s="9">
        <v>46287</v>
      </c>
      <c r="JQ5" s="9">
        <v>46288</v>
      </c>
      <c r="JR5" s="9">
        <v>46289</v>
      </c>
      <c r="JS5" s="9">
        <v>46290</v>
      </c>
      <c r="JT5" s="9">
        <v>46291</v>
      </c>
      <c r="JU5" s="9">
        <v>46292</v>
      </c>
      <c r="JV5" s="9">
        <v>46293</v>
      </c>
      <c r="JW5" s="9">
        <v>46294</v>
      </c>
      <c r="JX5" s="9">
        <v>46295</v>
      </c>
      <c r="JY5" s="9">
        <v>46296</v>
      </c>
      <c r="JZ5" s="9">
        <v>46297</v>
      </c>
      <c r="KA5" s="9">
        <v>46298</v>
      </c>
      <c r="KB5" s="9">
        <v>46299</v>
      </c>
      <c r="KC5" s="9">
        <v>46300</v>
      </c>
      <c r="KD5" s="9">
        <v>46301</v>
      </c>
      <c r="KE5" s="9">
        <v>46302</v>
      </c>
      <c r="KF5" s="9">
        <v>46303</v>
      </c>
      <c r="KG5" s="9">
        <v>46304</v>
      </c>
      <c r="KH5" s="9">
        <v>46305</v>
      </c>
      <c r="KI5" s="9">
        <v>46306</v>
      </c>
      <c r="KJ5" s="9">
        <v>46307</v>
      </c>
      <c r="KK5" s="9">
        <v>46308</v>
      </c>
      <c r="KL5" s="9">
        <v>46309</v>
      </c>
      <c r="KM5" s="9">
        <v>46310</v>
      </c>
      <c r="KN5" s="9">
        <v>46311</v>
      </c>
      <c r="KO5" s="9">
        <v>46312</v>
      </c>
      <c r="KP5" s="9">
        <v>46313</v>
      </c>
      <c r="KQ5" s="9">
        <v>46314</v>
      </c>
      <c r="KR5" s="9">
        <v>46315</v>
      </c>
      <c r="KS5" s="9">
        <v>46316</v>
      </c>
      <c r="KT5" s="9">
        <v>46317</v>
      </c>
      <c r="KU5" s="9">
        <v>46318</v>
      </c>
      <c r="KV5" s="9">
        <v>46319</v>
      </c>
      <c r="KW5" s="9">
        <v>46320</v>
      </c>
      <c r="KX5" s="9">
        <v>46321</v>
      </c>
      <c r="KY5" s="9">
        <v>46322</v>
      </c>
      <c r="KZ5" s="9">
        <v>46323</v>
      </c>
      <c r="LA5" s="9">
        <v>46324</v>
      </c>
      <c r="LB5" s="9">
        <v>46325</v>
      </c>
      <c r="LC5" s="9">
        <v>46326</v>
      </c>
      <c r="LD5" s="9">
        <v>46327</v>
      </c>
      <c r="LE5" s="9">
        <v>46328</v>
      </c>
      <c r="LF5" s="9">
        <v>46329</v>
      </c>
      <c r="LG5" s="9">
        <v>46330</v>
      </c>
      <c r="LH5" s="9">
        <v>46331</v>
      </c>
      <c r="LI5" s="9">
        <v>46332</v>
      </c>
      <c r="LJ5" s="9">
        <v>46333</v>
      </c>
      <c r="LK5" s="9">
        <v>46334</v>
      </c>
      <c r="LL5" s="9">
        <v>46335</v>
      </c>
      <c r="LM5" s="9">
        <v>46336</v>
      </c>
      <c r="LN5" s="9">
        <v>46337</v>
      </c>
      <c r="LO5" s="9">
        <v>46338</v>
      </c>
      <c r="LP5" s="9">
        <v>46339</v>
      </c>
      <c r="LQ5" s="9">
        <v>46340</v>
      </c>
      <c r="LR5" s="9">
        <v>46341</v>
      </c>
      <c r="LS5" s="9">
        <v>46342</v>
      </c>
      <c r="LT5" s="9">
        <v>46343</v>
      </c>
      <c r="LU5" s="9">
        <v>46344</v>
      </c>
      <c r="LV5" s="9">
        <v>46345</v>
      </c>
      <c r="LW5" s="9">
        <v>46346</v>
      </c>
      <c r="LX5" s="9">
        <v>46347</v>
      </c>
      <c r="LY5" s="9">
        <v>46348</v>
      </c>
      <c r="LZ5" s="9">
        <v>46349</v>
      </c>
      <c r="MA5" s="9">
        <v>46350</v>
      </c>
      <c r="MB5" s="9">
        <v>46351</v>
      </c>
      <c r="MC5" s="9">
        <v>46352</v>
      </c>
      <c r="MD5" s="9">
        <v>46353</v>
      </c>
      <c r="ME5" s="9">
        <v>46354</v>
      </c>
      <c r="MF5" s="9">
        <v>46355</v>
      </c>
      <c r="MG5" s="9">
        <v>46356</v>
      </c>
      <c r="MH5" s="9">
        <v>46357</v>
      </c>
      <c r="MI5" s="9">
        <v>46358</v>
      </c>
      <c r="MJ5" s="9">
        <v>46359</v>
      </c>
      <c r="MK5" s="9">
        <v>46360</v>
      </c>
      <c r="ML5" s="9">
        <v>46361</v>
      </c>
      <c r="MM5" s="9">
        <v>46362</v>
      </c>
      <c r="MN5" s="9">
        <v>46363</v>
      </c>
      <c r="MO5" s="9">
        <v>46364</v>
      </c>
      <c r="MP5" s="9">
        <v>46365</v>
      </c>
      <c r="MQ5" s="9">
        <v>46366</v>
      </c>
      <c r="MR5" s="9">
        <v>46367</v>
      </c>
      <c r="MS5" s="9">
        <v>46368</v>
      </c>
      <c r="MT5" s="9">
        <v>46369</v>
      </c>
      <c r="MU5" s="9">
        <v>46370</v>
      </c>
      <c r="MV5" s="9">
        <v>46371</v>
      </c>
      <c r="MW5" s="9">
        <v>46372</v>
      </c>
      <c r="MX5" s="9">
        <v>46373</v>
      </c>
      <c r="MY5" s="9">
        <v>46374</v>
      </c>
      <c r="MZ5" s="9">
        <v>46375</v>
      </c>
      <c r="NA5" s="9">
        <v>46376</v>
      </c>
      <c r="NB5" s="9">
        <v>46377</v>
      </c>
      <c r="NC5" s="9">
        <v>46378</v>
      </c>
      <c r="ND5" s="9">
        <v>46379</v>
      </c>
      <c r="NE5" s="9">
        <v>46380</v>
      </c>
      <c r="NF5" s="9">
        <v>46381</v>
      </c>
      <c r="NG5" s="9">
        <v>46382</v>
      </c>
      <c r="NH5" s="9">
        <v>46383</v>
      </c>
      <c r="NI5" s="9">
        <v>46384</v>
      </c>
      <c r="NJ5" s="9">
        <v>46385</v>
      </c>
      <c r="NK5" s="9">
        <v>46386</v>
      </c>
      <c r="NL5" s="9">
        <v>46387</v>
      </c>
      <c r="NM5" s="9">
        <v>46388</v>
      </c>
      <c r="NN5" s="9">
        <v>46389</v>
      </c>
      <c r="NO5" s="9">
        <v>46390</v>
      </c>
      <c r="NP5" s="9">
        <v>46391</v>
      </c>
      <c r="NQ5" s="9">
        <v>46392</v>
      </c>
      <c r="NR5" s="9">
        <v>46393</v>
      </c>
      <c r="NS5" s="9">
        <v>46394</v>
      </c>
      <c r="NT5" s="9">
        <v>46395</v>
      </c>
      <c r="NU5" s="9">
        <v>46396</v>
      </c>
      <c r="NV5" s="9">
        <v>46397</v>
      </c>
      <c r="NW5" s="9">
        <v>46398</v>
      </c>
      <c r="NX5" s="9">
        <v>46399</v>
      </c>
      <c r="NY5" s="9">
        <v>46400</v>
      </c>
      <c r="NZ5" s="9">
        <v>46401</v>
      </c>
      <c r="OA5" s="9">
        <v>46402</v>
      </c>
      <c r="OB5" s="9">
        <v>46403</v>
      </c>
      <c r="OC5" s="9">
        <v>46404</v>
      </c>
      <c r="OD5" s="9">
        <v>46405</v>
      </c>
      <c r="OE5" s="9">
        <v>46406</v>
      </c>
      <c r="OF5" s="9">
        <v>46407</v>
      </c>
      <c r="OG5" s="9">
        <v>46408</v>
      </c>
      <c r="OH5" s="9">
        <v>46409</v>
      </c>
      <c r="OI5" s="9">
        <v>46410</v>
      </c>
      <c r="OJ5" s="9">
        <v>46411</v>
      </c>
      <c r="OK5" s="9">
        <v>46412</v>
      </c>
      <c r="OL5" s="9">
        <v>46413</v>
      </c>
      <c r="OM5" s="9">
        <v>46414</v>
      </c>
      <c r="ON5" s="9">
        <v>46415</v>
      </c>
      <c r="OO5" s="9">
        <v>46416</v>
      </c>
      <c r="OP5" s="9">
        <v>46417</v>
      </c>
      <c r="OQ5" s="9">
        <v>46418</v>
      </c>
      <c r="OR5" s="9">
        <v>46419</v>
      </c>
      <c r="OS5" s="9">
        <v>46420</v>
      </c>
      <c r="OT5" s="9">
        <v>46421</v>
      </c>
      <c r="OU5" s="9">
        <v>46422</v>
      </c>
      <c r="OV5" s="9">
        <v>46423</v>
      </c>
      <c r="OW5" s="9">
        <v>46424</v>
      </c>
      <c r="OX5" s="9">
        <v>46425</v>
      </c>
      <c r="OY5" s="9">
        <v>46426</v>
      </c>
      <c r="OZ5" s="9">
        <v>46427</v>
      </c>
      <c r="PA5" s="9">
        <v>46428</v>
      </c>
      <c r="PB5" s="9">
        <v>46429</v>
      </c>
      <c r="PC5" s="9">
        <v>46430</v>
      </c>
      <c r="PD5" s="9">
        <v>46431</v>
      </c>
      <c r="PE5" s="9">
        <v>46432</v>
      </c>
      <c r="PF5" s="9">
        <v>46433</v>
      </c>
      <c r="PG5" s="9">
        <v>46434</v>
      </c>
      <c r="PH5" s="9">
        <v>46435</v>
      </c>
      <c r="PI5" s="9">
        <v>46436</v>
      </c>
      <c r="PJ5" s="9">
        <v>46437</v>
      </c>
      <c r="PK5" s="9">
        <v>46438</v>
      </c>
      <c r="PL5" s="9">
        <v>46439</v>
      </c>
      <c r="PM5" s="9">
        <v>46440</v>
      </c>
      <c r="PN5" s="9">
        <v>46441</v>
      </c>
      <c r="PO5" s="9">
        <v>46442</v>
      </c>
      <c r="PP5" s="9">
        <v>46443</v>
      </c>
      <c r="PQ5" s="9">
        <v>46444</v>
      </c>
      <c r="PR5" s="9">
        <v>46445</v>
      </c>
      <c r="PS5" s="9">
        <v>46446</v>
      </c>
      <c r="PT5" s="9">
        <v>46447</v>
      </c>
      <c r="PU5" s="9">
        <v>46448</v>
      </c>
      <c r="PV5" s="9">
        <v>46449</v>
      </c>
      <c r="PW5" s="9">
        <v>46450</v>
      </c>
      <c r="PX5" s="9">
        <v>46451</v>
      </c>
      <c r="PY5" s="9">
        <v>46452</v>
      </c>
      <c r="PZ5" s="9">
        <v>46453</v>
      </c>
      <c r="QA5" s="9">
        <v>46454</v>
      </c>
      <c r="QB5" s="9">
        <v>46455</v>
      </c>
      <c r="QC5" s="9">
        <v>46456</v>
      </c>
      <c r="QD5" s="9">
        <v>46457</v>
      </c>
      <c r="QE5" s="9">
        <v>46458</v>
      </c>
      <c r="QF5" s="9">
        <v>46459</v>
      </c>
      <c r="QG5" s="9">
        <v>46460</v>
      </c>
      <c r="QH5" s="9">
        <v>46461</v>
      </c>
      <c r="QI5" s="9">
        <v>46462</v>
      </c>
      <c r="QJ5" s="9">
        <v>46463</v>
      </c>
      <c r="QK5" s="9">
        <v>46464</v>
      </c>
      <c r="QL5" s="9">
        <v>46465</v>
      </c>
      <c r="QM5" s="9">
        <v>46466</v>
      </c>
      <c r="QN5" s="9">
        <v>46467</v>
      </c>
      <c r="QO5" s="9">
        <v>46468</v>
      </c>
      <c r="QP5" s="9">
        <v>46469</v>
      </c>
      <c r="QQ5" s="9">
        <v>46470</v>
      </c>
      <c r="QR5" s="9">
        <v>46471</v>
      </c>
      <c r="QS5" s="9">
        <v>46472</v>
      </c>
      <c r="QT5" s="9">
        <v>46473</v>
      </c>
      <c r="QU5" s="9">
        <v>46474</v>
      </c>
      <c r="QV5" s="9">
        <v>46475</v>
      </c>
      <c r="QW5" s="9">
        <v>46476</v>
      </c>
      <c r="QX5" s="9">
        <v>46477</v>
      </c>
      <c r="QY5" s="9">
        <v>46478</v>
      </c>
      <c r="QZ5" s="9">
        <v>46479</v>
      </c>
      <c r="RA5" s="9">
        <v>46480</v>
      </c>
      <c r="RB5" s="9">
        <v>46481</v>
      </c>
      <c r="RC5" s="9">
        <v>46482</v>
      </c>
      <c r="RD5" s="9">
        <v>46483</v>
      </c>
      <c r="RE5" s="9">
        <v>46484</v>
      </c>
      <c r="RF5" s="9">
        <v>46485</v>
      </c>
      <c r="RG5" s="9">
        <v>46486</v>
      </c>
      <c r="RH5" s="9">
        <v>46487</v>
      </c>
      <c r="RI5" s="9">
        <v>46488</v>
      </c>
      <c r="RJ5" s="9">
        <v>46489</v>
      </c>
      <c r="RK5" s="9">
        <v>46490</v>
      </c>
      <c r="RL5" s="9">
        <v>46491</v>
      </c>
      <c r="RM5" s="9">
        <v>46492</v>
      </c>
      <c r="RN5" s="9">
        <v>46493</v>
      </c>
      <c r="RO5" s="9">
        <v>46494</v>
      </c>
      <c r="RP5" s="9">
        <v>46495</v>
      </c>
      <c r="RQ5" s="9">
        <v>46496</v>
      </c>
      <c r="RR5" s="9">
        <v>46497</v>
      </c>
      <c r="RS5" s="9">
        <v>46498</v>
      </c>
      <c r="RT5" s="9">
        <v>46499</v>
      </c>
      <c r="RU5" s="9">
        <v>46500</v>
      </c>
      <c r="RV5" s="9">
        <v>46501</v>
      </c>
      <c r="RW5" s="9">
        <v>46386</v>
      </c>
      <c r="RX5" s="10">
        <v>46387</v>
      </c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</row>
    <row r="6" spans="1:551" ht="14.4">
      <c r="A6" s="13" t="s">
        <v>21</v>
      </c>
      <c r="B6" s="14" t="s">
        <v>22</v>
      </c>
      <c r="C6" s="33" t="e">
        <f>COUNTA(I7:I29)/COUNTA(F7:F29)</f>
        <v>#DIV/0!</v>
      </c>
      <c r="D6" s="15" t="s">
        <v>23</v>
      </c>
      <c r="E6" s="16"/>
      <c r="F6" s="16"/>
      <c r="G6" s="35"/>
      <c r="H6" s="16"/>
      <c r="I6" s="16"/>
      <c r="J6" s="14"/>
      <c r="K6" s="14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17"/>
      <c r="IQ6" s="17"/>
      <c r="IR6" s="17"/>
      <c r="IS6" s="17"/>
      <c r="IT6" s="17"/>
      <c r="IU6" s="17"/>
      <c r="IV6" s="17"/>
      <c r="IW6" s="17"/>
      <c r="IX6" s="17"/>
      <c r="IY6" s="17"/>
      <c r="IZ6" s="17"/>
      <c r="JA6" s="17"/>
      <c r="JB6" s="17"/>
      <c r="JC6" s="17"/>
      <c r="JD6" s="17"/>
      <c r="JE6" s="17"/>
      <c r="JF6" s="17"/>
      <c r="JG6" s="17"/>
      <c r="JH6" s="17"/>
      <c r="JI6" s="17"/>
      <c r="JJ6" s="17"/>
      <c r="JK6" s="17"/>
      <c r="JL6" s="17"/>
      <c r="JM6" s="17"/>
      <c r="JN6" s="17"/>
      <c r="JO6" s="17"/>
      <c r="JP6" s="17"/>
      <c r="JQ6" s="17"/>
      <c r="JR6" s="17"/>
      <c r="JS6" s="17"/>
      <c r="JT6" s="17"/>
      <c r="JU6" s="17"/>
      <c r="JV6" s="17"/>
      <c r="JW6" s="17"/>
      <c r="JX6" s="17"/>
      <c r="JY6" s="17"/>
      <c r="JZ6" s="17"/>
      <c r="KA6" s="17"/>
      <c r="KB6" s="17"/>
      <c r="KC6" s="17"/>
      <c r="KD6" s="17"/>
      <c r="KE6" s="17"/>
      <c r="KF6" s="17"/>
      <c r="KG6" s="17"/>
      <c r="KH6" s="17"/>
      <c r="KI6" s="17"/>
      <c r="KJ6" s="17"/>
      <c r="KK6" s="17"/>
      <c r="KL6" s="17"/>
      <c r="KM6" s="17"/>
      <c r="KN6" s="17"/>
      <c r="KO6" s="17"/>
      <c r="KP6" s="17"/>
      <c r="KQ6" s="17"/>
      <c r="KR6" s="17"/>
      <c r="KS6" s="17"/>
      <c r="KT6" s="17"/>
      <c r="KU6" s="17"/>
      <c r="KV6" s="17"/>
      <c r="KW6" s="17"/>
      <c r="KX6" s="17"/>
      <c r="KY6" s="17"/>
      <c r="KZ6" s="17"/>
      <c r="LA6" s="17"/>
      <c r="LB6" s="17"/>
      <c r="LC6" s="17"/>
      <c r="LD6" s="17"/>
      <c r="LE6" s="17"/>
      <c r="LF6" s="17"/>
      <c r="LG6" s="17"/>
      <c r="LH6" s="17"/>
      <c r="LI6" s="17"/>
      <c r="LJ6" s="17"/>
      <c r="LK6" s="17"/>
      <c r="LL6" s="17"/>
      <c r="LM6" s="17"/>
      <c r="LN6" s="17"/>
      <c r="LO6" s="17"/>
      <c r="LP6" s="17"/>
      <c r="LQ6" s="17"/>
      <c r="LR6" s="17"/>
      <c r="LS6" s="17"/>
      <c r="LT6" s="17"/>
      <c r="LU6" s="17"/>
      <c r="LV6" s="17"/>
      <c r="LW6" s="17"/>
      <c r="LX6" s="17"/>
      <c r="LY6" s="17"/>
      <c r="LZ6" s="17"/>
      <c r="MA6" s="17"/>
      <c r="MB6" s="17"/>
      <c r="MC6" s="17"/>
      <c r="MD6" s="17"/>
      <c r="ME6" s="17"/>
      <c r="MF6" s="17"/>
      <c r="MG6" s="17"/>
      <c r="MH6" s="17"/>
      <c r="MI6" s="17"/>
      <c r="MJ6" s="17"/>
      <c r="MK6" s="17"/>
      <c r="ML6" s="17"/>
      <c r="MM6" s="17"/>
      <c r="MN6" s="17"/>
      <c r="MO6" s="17"/>
      <c r="MP6" s="17"/>
      <c r="MQ6" s="17"/>
      <c r="MR6" s="17"/>
      <c r="MS6" s="17"/>
      <c r="MT6" s="17"/>
      <c r="MU6" s="17"/>
      <c r="MV6" s="17"/>
      <c r="MW6" s="17"/>
      <c r="MX6" s="17"/>
      <c r="MY6" s="17"/>
      <c r="MZ6" s="17"/>
      <c r="NA6" s="17"/>
      <c r="NB6" s="17"/>
      <c r="NC6" s="17"/>
      <c r="ND6" s="17"/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/>
      <c r="OG6" s="17"/>
      <c r="OH6" s="17"/>
      <c r="OI6" s="17"/>
      <c r="OJ6" s="17"/>
      <c r="OK6" s="17"/>
      <c r="OL6" s="17"/>
      <c r="OM6" s="17"/>
      <c r="ON6" s="17"/>
      <c r="OO6" s="17"/>
      <c r="OP6" s="17"/>
      <c r="OQ6" s="17"/>
      <c r="OR6" s="17"/>
      <c r="OS6" s="17"/>
      <c r="OT6" s="17"/>
      <c r="OU6" s="17"/>
      <c r="OV6" s="17"/>
      <c r="OW6" s="17"/>
      <c r="OX6" s="17"/>
      <c r="OY6" s="17"/>
      <c r="OZ6" s="17"/>
      <c r="PA6" s="17"/>
      <c r="PB6" s="17"/>
      <c r="PC6" s="17"/>
      <c r="PD6" s="17"/>
      <c r="PE6" s="17"/>
      <c r="PF6" s="17"/>
      <c r="PG6" s="17"/>
      <c r="PH6" s="17"/>
      <c r="PI6" s="17"/>
      <c r="PJ6" s="17"/>
      <c r="PK6" s="17"/>
      <c r="PL6" s="17"/>
      <c r="PM6" s="17"/>
      <c r="PN6" s="17"/>
      <c r="PO6" s="17"/>
      <c r="PP6" s="17"/>
      <c r="PQ6" s="17"/>
      <c r="PR6" s="17"/>
      <c r="PS6" s="17"/>
      <c r="PT6" s="17"/>
      <c r="PU6" s="17"/>
      <c r="PV6" s="17"/>
      <c r="PW6" s="17"/>
      <c r="PX6" s="17"/>
      <c r="PY6" s="17"/>
      <c r="PZ6" s="17"/>
      <c r="QA6" s="17"/>
      <c r="QB6" s="17"/>
      <c r="QC6" s="17"/>
      <c r="QD6" s="17"/>
      <c r="QE6" s="17"/>
      <c r="QF6" s="17"/>
      <c r="QG6" s="17"/>
      <c r="QH6" s="17"/>
      <c r="QI6" s="17"/>
      <c r="QJ6" s="17"/>
      <c r="QK6" s="17"/>
      <c r="QL6" s="17"/>
      <c r="QM6" s="17"/>
      <c r="QN6" s="17"/>
      <c r="QO6" s="17"/>
      <c r="QP6" s="17"/>
      <c r="QQ6" s="17"/>
      <c r="QR6" s="17"/>
      <c r="QS6" s="17"/>
      <c r="QT6" s="17"/>
      <c r="QU6" s="17"/>
      <c r="QV6" s="17"/>
      <c r="QW6" s="17"/>
      <c r="QX6" s="17"/>
      <c r="QY6" s="17"/>
      <c r="QZ6" s="17"/>
      <c r="RA6" s="17"/>
      <c r="RB6" s="17"/>
      <c r="RC6" s="17"/>
      <c r="RD6" s="17"/>
      <c r="RE6" s="17"/>
      <c r="RF6" s="17"/>
      <c r="RG6" s="17"/>
      <c r="RH6" s="17"/>
      <c r="RI6" s="17"/>
      <c r="RJ6" s="17"/>
      <c r="RK6" s="17"/>
      <c r="RL6" s="17"/>
      <c r="RM6" s="17"/>
      <c r="RN6" s="17"/>
      <c r="RO6" s="17"/>
      <c r="RP6" s="17"/>
      <c r="RQ6" s="17"/>
      <c r="RR6" s="17"/>
      <c r="RS6" s="17"/>
      <c r="RT6" s="17"/>
      <c r="RU6" s="17"/>
      <c r="RV6" s="17"/>
      <c r="RW6" s="17"/>
      <c r="RX6" s="18"/>
    </row>
    <row r="7" spans="1:551" ht="14.4" hidden="1" outlineLevel="1">
      <c r="A7" s="19"/>
      <c r="D7" s="5" t="s">
        <v>24</v>
      </c>
      <c r="RX7" s="20"/>
    </row>
    <row r="8" spans="1:551" ht="14.4" hidden="1" outlineLevel="1">
      <c r="A8" s="19"/>
      <c r="D8" s="5" t="s">
        <v>25</v>
      </c>
      <c r="RX8" s="20"/>
    </row>
    <row r="9" spans="1:551" ht="14.4" hidden="1" outlineLevel="1">
      <c r="A9" s="19"/>
      <c r="D9" s="5" t="s">
        <v>26</v>
      </c>
      <c r="RX9" s="20"/>
    </row>
    <row r="10" spans="1:551" ht="14.4" hidden="1" outlineLevel="1">
      <c r="A10" s="19"/>
      <c r="D10" s="5" t="s">
        <v>27</v>
      </c>
      <c r="RX10" s="20"/>
    </row>
    <row r="11" spans="1:551" ht="14.4" hidden="1" outlineLevel="1">
      <c r="A11" s="19"/>
      <c r="RX11" s="20"/>
    </row>
    <row r="12" spans="1:551" ht="14.4" hidden="1" outlineLevel="1">
      <c r="A12" s="19"/>
      <c r="RX12" s="20"/>
    </row>
    <row r="13" spans="1:551" ht="14.4" hidden="1" outlineLevel="1">
      <c r="A13" s="19"/>
      <c r="RX13" s="20"/>
    </row>
    <row r="14" spans="1:551" ht="14.4" hidden="1" outlineLevel="1">
      <c r="A14" s="19"/>
      <c r="RX14" s="20"/>
    </row>
    <row r="15" spans="1:551" ht="14.4" hidden="1" outlineLevel="1">
      <c r="A15" s="19"/>
      <c r="RX15" s="20"/>
    </row>
    <row r="16" spans="1:551" ht="14.4" hidden="1" outlineLevel="1">
      <c r="A16" s="19"/>
      <c r="RX16" s="20"/>
    </row>
    <row r="17" spans="1:492" ht="14.4" hidden="1" outlineLevel="1">
      <c r="A17" s="19"/>
      <c r="RX17" s="20"/>
    </row>
    <row r="18" spans="1:492" ht="14.4" hidden="1" outlineLevel="1">
      <c r="A18" s="19"/>
      <c r="RX18" s="20"/>
    </row>
    <row r="19" spans="1:492" ht="14.4" hidden="1" outlineLevel="1">
      <c r="A19" s="19"/>
      <c r="RX19" s="20"/>
    </row>
    <row r="20" spans="1:492" ht="14.4" hidden="1" outlineLevel="1">
      <c r="A20" s="19"/>
      <c r="RX20" s="20"/>
    </row>
    <row r="21" spans="1:492" ht="14.4" hidden="1" outlineLevel="1">
      <c r="A21" s="19"/>
      <c r="RX21" s="20"/>
    </row>
    <row r="22" spans="1:492" ht="14.4" hidden="1" outlineLevel="1">
      <c r="A22" s="19"/>
      <c r="RX22" s="20"/>
    </row>
    <row r="23" spans="1:492" ht="14.4" hidden="1" outlineLevel="1">
      <c r="A23" s="19"/>
      <c r="RX23" s="20"/>
    </row>
    <row r="24" spans="1:492" ht="14.4" hidden="1" outlineLevel="1">
      <c r="A24" s="19"/>
      <c r="RX24" s="20"/>
    </row>
    <row r="25" spans="1:492" ht="14.4" hidden="1" outlineLevel="1">
      <c r="A25" s="19"/>
      <c r="RX25" s="20"/>
    </row>
    <row r="26" spans="1:492" ht="14.4" hidden="1" outlineLevel="1">
      <c r="A26" s="19"/>
      <c r="RX26" s="20"/>
    </row>
    <row r="27" spans="1:492" ht="14.4" hidden="1" outlineLevel="1">
      <c r="A27" s="19"/>
      <c r="RX27" s="20"/>
    </row>
    <row r="28" spans="1:492" ht="14.4" hidden="1" outlineLevel="1">
      <c r="A28" s="19"/>
      <c r="RX28" s="20"/>
    </row>
    <row r="29" spans="1:492" ht="14.4" hidden="1" outlineLevel="1">
      <c r="A29" s="19"/>
      <c r="RX29" s="20"/>
    </row>
    <row r="30" spans="1:492" ht="14.4" hidden="1" outlineLevel="1">
      <c r="A30" s="19"/>
      <c r="RX30" s="20"/>
    </row>
    <row r="31" spans="1:492" ht="14.4" collapsed="1">
      <c r="A31" s="13" t="s">
        <v>28</v>
      </c>
      <c r="B31" s="14" t="s">
        <v>22</v>
      </c>
      <c r="C31" s="33">
        <f>COUNTA(I32:I45)/COUNTA(F32:F45)</f>
        <v>1</v>
      </c>
      <c r="D31" s="15"/>
      <c r="E31" s="16">
        <f>E32</f>
        <v>46233</v>
      </c>
      <c r="F31" s="16">
        <f>F44</f>
        <v>46288</v>
      </c>
      <c r="G31" s="14">
        <f>F31-E31</f>
        <v>55</v>
      </c>
      <c r="H31" s="16">
        <f>H32</f>
        <v>46233</v>
      </c>
      <c r="I31" s="16">
        <f>I44</f>
        <v>46288</v>
      </c>
      <c r="J31" s="14">
        <f>I31-H31</f>
        <v>55</v>
      </c>
      <c r="K31" s="14" t="s">
        <v>0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/>
      <c r="IS31" s="17"/>
      <c r="IT31" s="17"/>
      <c r="IU31" s="17"/>
      <c r="IV31" s="17"/>
      <c r="IW31" s="17"/>
      <c r="IX31" s="17"/>
      <c r="IY31" s="17"/>
      <c r="IZ31" s="17"/>
      <c r="JA31" s="17"/>
      <c r="JB31" s="17"/>
      <c r="JC31" s="17"/>
      <c r="JD31" s="17"/>
      <c r="JE31" s="17"/>
      <c r="JF31" s="17"/>
      <c r="JG31" s="17"/>
      <c r="JH31" s="17"/>
      <c r="JI31" s="17"/>
      <c r="JJ31" s="17"/>
      <c r="JK31" s="17"/>
      <c r="JL31" s="17"/>
      <c r="JM31" s="17"/>
      <c r="JN31" s="17"/>
      <c r="JO31" s="17"/>
      <c r="JP31" s="17"/>
      <c r="JQ31" s="17"/>
      <c r="JR31" s="17"/>
      <c r="JS31" s="17"/>
      <c r="JT31" s="17"/>
      <c r="JU31" s="17"/>
      <c r="JV31" s="17"/>
      <c r="JW31" s="17"/>
      <c r="JX31" s="17"/>
      <c r="JY31" s="17"/>
      <c r="JZ31" s="17"/>
      <c r="KA31" s="17"/>
      <c r="KB31" s="17"/>
      <c r="KC31" s="17"/>
      <c r="KD31" s="17"/>
      <c r="KE31" s="17"/>
      <c r="KF31" s="17"/>
      <c r="KG31" s="17"/>
      <c r="KH31" s="17"/>
      <c r="KI31" s="17"/>
      <c r="KJ31" s="17"/>
      <c r="KK31" s="17"/>
      <c r="KL31" s="17"/>
      <c r="KM31" s="17"/>
      <c r="KN31" s="17"/>
      <c r="KO31" s="17"/>
      <c r="KP31" s="17"/>
      <c r="KQ31" s="17"/>
      <c r="KR31" s="17"/>
      <c r="KS31" s="17"/>
      <c r="KT31" s="17"/>
      <c r="KU31" s="17"/>
      <c r="KV31" s="17"/>
      <c r="KW31" s="17"/>
      <c r="KX31" s="17"/>
      <c r="KY31" s="17"/>
      <c r="KZ31" s="17"/>
      <c r="LA31" s="17"/>
      <c r="LB31" s="17"/>
      <c r="LC31" s="17"/>
      <c r="LD31" s="17"/>
      <c r="LE31" s="17"/>
      <c r="LF31" s="17"/>
      <c r="LG31" s="17"/>
      <c r="LH31" s="17"/>
      <c r="LI31" s="17"/>
      <c r="LJ31" s="17"/>
      <c r="LK31" s="17"/>
      <c r="LL31" s="17"/>
      <c r="LM31" s="17"/>
      <c r="LN31" s="17"/>
      <c r="LO31" s="17"/>
      <c r="LP31" s="17"/>
      <c r="LQ31" s="17"/>
      <c r="LR31" s="17"/>
      <c r="LS31" s="17"/>
      <c r="LT31" s="17"/>
      <c r="LU31" s="17"/>
      <c r="LV31" s="17"/>
      <c r="LW31" s="17"/>
      <c r="LX31" s="17"/>
      <c r="LY31" s="17"/>
      <c r="LZ31" s="17"/>
      <c r="MA31" s="17"/>
      <c r="MB31" s="17"/>
      <c r="MC31" s="17"/>
      <c r="MD31" s="17"/>
      <c r="ME31" s="17"/>
      <c r="MF31" s="17"/>
      <c r="MG31" s="17"/>
      <c r="MH31" s="17"/>
      <c r="MI31" s="17"/>
      <c r="MJ31" s="17"/>
      <c r="MK31" s="17"/>
      <c r="ML31" s="17"/>
      <c r="MM31" s="17"/>
      <c r="MN31" s="17"/>
      <c r="MO31" s="17"/>
      <c r="MP31" s="17"/>
      <c r="MQ31" s="17"/>
      <c r="MR31" s="17"/>
      <c r="MS31" s="17"/>
      <c r="MT31" s="17"/>
      <c r="MU31" s="17"/>
      <c r="MV31" s="17"/>
      <c r="MW31" s="17"/>
      <c r="MX31" s="17"/>
      <c r="MY31" s="17"/>
      <c r="MZ31" s="17"/>
      <c r="NA31" s="17"/>
      <c r="NB31" s="17"/>
      <c r="NC31" s="17"/>
      <c r="ND31" s="17"/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  <c r="NX31" s="17"/>
      <c r="NY31" s="17"/>
      <c r="NZ31" s="17"/>
      <c r="OA31" s="17"/>
      <c r="OB31" s="17"/>
      <c r="OC31" s="17"/>
      <c r="OD31" s="17"/>
      <c r="OE31" s="17"/>
      <c r="OF31" s="17"/>
      <c r="OG31" s="17"/>
      <c r="OH31" s="17"/>
      <c r="OI31" s="17"/>
      <c r="OJ31" s="17"/>
      <c r="OK31" s="17"/>
      <c r="OL31" s="17"/>
      <c r="OM31" s="17"/>
      <c r="ON31" s="17"/>
      <c r="OO31" s="17"/>
      <c r="OP31" s="17"/>
      <c r="OQ31" s="17"/>
      <c r="OR31" s="17"/>
      <c r="OS31" s="17"/>
      <c r="OT31" s="17"/>
      <c r="OU31" s="17"/>
      <c r="OV31" s="17"/>
      <c r="OW31" s="17"/>
      <c r="OX31" s="17"/>
      <c r="OY31" s="17"/>
      <c r="OZ31" s="17"/>
      <c r="PA31" s="17"/>
      <c r="PB31" s="17"/>
      <c r="PC31" s="17"/>
      <c r="PD31" s="17"/>
      <c r="PE31" s="17"/>
      <c r="PF31" s="17"/>
      <c r="PG31" s="17"/>
      <c r="PH31" s="17"/>
      <c r="PI31" s="17"/>
      <c r="PJ31" s="17"/>
      <c r="PK31" s="17"/>
      <c r="PL31" s="17"/>
      <c r="PM31" s="17"/>
      <c r="PN31" s="17"/>
      <c r="PO31" s="17"/>
      <c r="PP31" s="17"/>
      <c r="PQ31" s="17"/>
      <c r="PR31" s="17"/>
      <c r="PS31" s="17"/>
      <c r="PT31" s="17"/>
      <c r="PU31" s="17"/>
      <c r="PV31" s="17"/>
      <c r="PW31" s="17"/>
      <c r="PX31" s="17"/>
      <c r="PY31" s="17"/>
      <c r="PZ31" s="17"/>
      <c r="QA31" s="17"/>
      <c r="QB31" s="17"/>
      <c r="QC31" s="17"/>
      <c r="QD31" s="17"/>
      <c r="QE31" s="17"/>
      <c r="QF31" s="17"/>
      <c r="QG31" s="17"/>
      <c r="QH31" s="17"/>
      <c r="QI31" s="17"/>
      <c r="QJ31" s="17"/>
      <c r="QK31" s="17"/>
      <c r="QL31" s="17"/>
      <c r="QM31" s="17"/>
      <c r="QN31" s="17"/>
      <c r="QO31" s="17"/>
      <c r="QP31" s="17"/>
      <c r="QQ31" s="17"/>
      <c r="QR31" s="17"/>
      <c r="QS31" s="17"/>
      <c r="QT31" s="17"/>
      <c r="QU31" s="17"/>
      <c r="QV31" s="17"/>
      <c r="QW31" s="17"/>
      <c r="QX31" s="17"/>
      <c r="QY31" s="17"/>
      <c r="QZ31" s="17"/>
      <c r="RA31" s="17"/>
      <c r="RB31" s="17"/>
      <c r="RC31" s="17"/>
      <c r="RD31" s="17"/>
      <c r="RE31" s="17"/>
      <c r="RF31" s="17"/>
      <c r="RG31" s="17"/>
      <c r="RH31" s="17"/>
      <c r="RI31" s="17"/>
      <c r="RJ31" s="17"/>
      <c r="RK31" s="17"/>
      <c r="RL31" s="17"/>
      <c r="RM31" s="17"/>
      <c r="RN31" s="17"/>
      <c r="RO31" s="17"/>
      <c r="RP31" s="17"/>
      <c r="RQ31" s="17"/>
      <c r="RR31" s="17"/>
      <c r="RS31" s="17"/>
      <c r="RT31" s="17"/>
      <c r="RU31" s="17"/>
      <c r="RV31" s="17"/>
      <c r="RW31" s="17"/>
      <c r="RX31" s="18"/>
    </row>
    <row r="32" spans="1:492" ht="14.4" outlineLevel="1">
      <c r="A32" s="19"/>
      <c r="D32" s="5" t="s">
        <v>29</v>
      </c>
      <c r="E32" s="4">
        <v>46233</v>
      </c>
      <c r="F32" s="4">
        <v>46233</v>
      </c>
      <c r="G32" s="2">
        <f>NETWORKDAYS(E32, F32)</f>
        <v>1</v>
      </c>
      <c r="H32" s="4">
        <v>46233</v>
      </c>
      <c r="I32" s="4">
        <v>46233</v>
      </c>
      <c r="J32" s="2">
        <f>NETWORKDAYS(H32, I32)</f>
        <v>1</v>
      </c>
      <c r="RX32" s="20"/>
    </row>
    <row r="33" spans="1:492" ht="14.4" outlineLevel="1">
      <c r="A33" s="19"/>
      <c r="D33" s="5" t="s">
        <v>30</v>
      </c>
      <c r="E33" s="4">
        <v>46237</v>
      </c>
      <c r="F33" s="4">
        <v>46237</v>
      </c>
      <c r="G33" s="2">
        <f t="shared" ref="G33:G44" si="6">NETWORKDAYS(E33, F33)</f>
        <v>1</v>
      </c>
      <c r="H33" s="4">
        <v>46237</v>
      </c>
      <c r="I33" s="4">
        <v>46237</v>
      </c>
      <c r="J33" s="2">
        <f t="shared" ref="J33:J44" si="7">NETWORKDAYS(H33, I33)</f>
        <v>1</v>
      </c>
      <c r="K33" s="2" t="s">
        <v>31</v>
      </c>
      <c r="RX33" s="20"/>
    </row>
    <row r="34" spans="1:492" ht="14.4" outlineLevel="1">
      <c r="A34" s="19"/>
      <c r="D34" s="5" t="s">
        <v>32</v>
      </c>
      <c r="E34" s="4">
        <v>46270</v>
      </c>
      <c r="F34" s="4">
        <f>E34</f>
        <v>46270</v>
      </c>
      <c r="G34" s="2">
        <f t="shared" si="6"/>
        <v>0</v>
      </c>
      <c r="H34" s="4">
        <v>46268</v>
      </c>
      <c r="I34" s="4">
        <v>46268</v>
      </c>
      <c r="J34" s="2">
        <f t="shared" si="7"/>
        <v>1</v>
      </c>
      <c r="RX34" s="20"/>
    </row>
    <row r="35" spans="1:492" ht="14.4" outlineLevel="1">
      <c r="A35" s="19"/>
      <c r="D35" s="5" t="s">
        <v>33</v>
      </c>
      <c r="E35" s="4">
        <f>F34</f>
        <v>46270</v>
      </c>
      <c r="F35" s="4">
        <f>E36</f>
        <v>46278</v>
      </c>
      <c r="G35" s="2">
        <f t="shared" si="6"/>
        <v>5</v>
      </c>
      <c r="H35" s="4">
        <v>46268</v>
      </c>
      <c r="I35" s="4">
        <v>46278</v>
      </c>
      <c r="J35" s="2">
        <f t="shared" si="7"/>
        <v>7</v>
      </c>
      <c r="RX35" s="20"/>
    </row>
    <row r="36" spans="1:492" ht="14.4" outlineLevel="1">
      <c r="A36" s="19"/>
      <c r="D36" s="5" t="s">
        <v>34</v>
      </c>
      <c r="E36" s="4">
        <v>46278</v>
      </c>
      <c r="F36" s="4">
        <f>E36</f>
        <v>46278</v>
      </c>
      <c r="G36" s="2">
        <f t="shared" si="6"/>
        <v>0</v>
      </c>
      <c r="H36" s="4">
        <v>46278</v>
      </c>
      <c r="I36" s="4">
        <v>46278</v>
      </c>
      <c r="J36" s="2">
        <f t="shared" si="7"/>
        <v>0</v>
      </c>
      <c r="RX36" s="20"/>
    </row>
    <row r="37" spans="1:492" ht="14.4" outlineLevel="1">
      <c r="A37" s="19"/>
      <c r="D37" s="5" t="s">
        <v>35</v>
      </c>
      <c r="E37" s="4">
        <f>F36</f>
        <v>46278</v>
      </c>
      <c r="F37" s="4">
        <f>E38</f>
        <v>46281</v>
      </c>
      <c r="G37" s="2">
        <f t="shared" si="6"/>
        <v>3</v>
      </c>
      <c r="H37" s="4">
        <v>46278</v>
      </c>
      <c r="I37" s="4">
        <v>46281</v>
      </c>
      <c r="J37" s="2">
        <f t="shared" si="7"/>
        <v>3</v>
      </c>
      <c r="RX37" s="20"/>
    </row>
    <row r="38" spans="1:492" ht="14.4" outlineLevel="1">
      <c r="A38" s="19"/>
      <c r="D38" s="5" t="s">
        <v>36</v>
      </c>
      <c r="E38" s="4">
        <v>46281</v>
      </c>
      <c r="F38" s="4">
        <f>E38</f>
        <v>46281</v>
      </c>
      <c r="G38" s="2">
        <f t="shared" si="6"/>
        <v>1</v>
      </c>
      <c r="H38" s="4">
        <v>46281</v>
      </c>
      <c r="I38" s="4">
        <v>46281</v>
      </c>
      <c r="J38" s="2">
        <f t="shared" si="7"/>
        <v>1</v>
      </c>
      <c r="RX38" s="20"/>
    </row>
    <row r="39" spans="1:492" ht="14.4" outlineLevel="1">
      <c r="A39" s="19"/>
      <c r="D39" s="5" t="s">
        <v>37</v>
      </c>
      <c r="E39" s="4">
        <f>F38</f>
        <v>46281</v>
      </c>
      <c r="F39" s="4">
        <f>E39+1</f>
        <v>46282</v>
      </c>
      <c r="G39" s="2">
        <f t="shared" si="6"/>
        <v>2</v>
      </c>
      <c r="H39" s="4">
        <v>46281</v>
      </c>
      <c r="I39" s="4">
        <v>46281</v>
      </c>
      <c r="J39" s="2">
        <f t="shared" si="7"/>
        <v>1</v>
      </c>
      <c r="RX39" s="20"/>
    </row>
    <row r="40" spans="1:492" ht="14.4" outlineLevel="1">
      <c r="A40" s="19"/>
      <c r="D40" s="5" t="s">
        <v>38</v>
      </c>
      <c r="E40" s="4">
        <v>46282</v>
      </c>
      <c r="F40" s="4">
        <f>E40+1</f>
        <v>46283</v>
      </c>
      <c r="G40" s="2">
        <f t="shared" si="6"/>
        <v>2</v>
      </c>
      <c r="H40" s="4">
        <v>46282</v>
      </c>
      <c r="I40" s="4">
        <v>46283</v>
      </c>
      <c r="J40" s="2">
        <f t="shared" si="7"/>
        <v>2</v>
      </c>
      <c r="RX40" s="20"/>
    </row>
    <row r="41" spans="1:492" ht="14.4" outlineLevel="1">
      <c r="A41" s="19"/>
      <c r="D41" s="5" t="s">
        <v>39</v>
      </c>
      <c r="E41" s="4">
        <v>46285</v>
      </c>
      <c r="F41" s="4">
        <f>E41</f>
        <v>46285</v>
      </c>
      <c r="G41" s="2">
        <f t="shared" si="6"/>
        <v>0</v>
      </c>
      <c r="H41" s="4">
        <v>46285</v>
      </c>
      <c r="I41" s="4">
        <v>46285</v>
      </c>
      <c r="J41" s="2">
        <f t="shared" si="7"/>
        <v>0</v>
      </c>
      <c r="RX41" s="20"/>
    </row>
    <row r="42" spans="1:492" ht="14.4" outlineLevel="1">
      <c r="A42" s="19"/>
      <c r="D42" s="5" t="s">
        <v>40</v>
      </c>
      <c r="E42" s="4">
        <v>46286</v>
      </c>
      <c r="F42" s="4">
        <v>46288</v>
      </c>
      <c r="G42" s="2">
        <f t="shared" si="6"/>
        <v>3</v>
      </c>
      <c r="H42" s="4">
        <v>46286</v>
      </c>
      <c r="I42" s="4">
        <v>46288</v>
      </c>
      <c r="J42" s="2">
        <f t="shared" si="7"/>
        <v>3</v>
      </c>
      <c r="RX42" s="20"/>
    </row>
    <row r="43" spans="1:492" ht="14.4" outlineLevel="1">
      <c r="A43" s="19"/>
      <c r="D43" s="5" t="s">
        <v>41</v>
      </c>
      <c r="E43" s="4">
        <f>F42</f>
        <v>46288</v>
      </c>
      <c r="F43" s="4">
        <f>E43</f>
        <v>46288</v>
      </c>
      <c r="G43" s="2">
        <f t="shared" si="6"/>
        <v>1</v>
      </c>
      <c r="H43" s="4">
        <v>46288</v>
      </c>
      <c r="I43" s="4">
        <v>46288</v>
      </c>
      <c r="J43" s="2">
        <f t="shared" si="7"/>
        <v>1</v>
      </c>
      <c r="RX43" s="20"/>
    </row>
    <row r="44" spans="1:492" ht="14.4" outlineLevel="1">
      <c r="A44" s="19"/>
      <c r="D44" s="5" t="s">
        <v>42</v>
      </c>
      <c r="E44" s="4">
        <f>F43</f>
        <v>46288</v>
      </c>
      <c r="F44" s="4">
        <f>E44</f>
        <v>46288</v>
      </c>
      <c r="G44" s="2">
        <f t="shared" si="6"/>
        <v>1</v>
      </c>
      <c r="H44" s="4">
        <v>46288</v>
      </c>
      <c r="I44" s="4">
        <v>46288</v>
      </c>
      <c r="J44" s="2">
        <f t="shared" si="7"/>
        <v>1</v>
      </c>
      <c r="RX44" s="20"/>
    </row>
    <row r="45" spans="1:492" ht="14.4" outlineLevel="1">
      <c r="A45" s="19"/>
      <c r="RX45" s="20"/>
    </row>
    <row r="46" spans="1:492" ht="14.4">
      <c r="A46" s="13" t="s">
        <v>43</v>
      </c>
      <c r="B46" s="14" t="s">
        <v>22</v>
      </c>
      <c r="C46" s="33">
        <f>COUNTA(I47:I61)/COUNTA(F47:F61)</f>
        <v>0</v>
      </c>
      <c r="D46" s="15"/>
      <c r="E46" s="16">
        <f>E47</f>
        <v>46244</v>
      </c>
      <c r="F46" s="16">
        <f>F67</f>
        <v>46409</v>
      </c>
      <c r="G46" s="35">
        <f>F46-E46</f>
        <v>165</v>
      </c>
      <c r="H46" s="16"/>
      <c r="I46" s="16"/>
      <c r="J46" s="14"/>
      <c r="K46" s="14" t="s">
        <v>44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  <c r="FN46" s="17"/>
      <c r="FO46" s="17"/>
      <c r="FP46" s="17"/>
      <c r="FQ46" s="17"/>
      <c r="FR46" s="17"/>
      <c r="FS46" s="17"/>
      <c r="FT46" s="17"/>
      <c r="FU46" s="17"/>
      <c r="FV46" s="17"/>
      <c r="FW46" s="17"/>
      <c r="FX46" s="17"/>
      <c r="FY46" s="17"/>
      <c r="FZ46" s="17"/>
      <c r="GA46" s="17"/>
      <c r="GB46" s="17"/>
      <c r="GC46" s="17"/>
      <c r="GD46" s="17"/>
      <c r="GE46" s="17"/>
      <c r="GF46" s="17"/>
      <c r="GG46" s="17"/>
      <c r="GH46" s="17"/>
      <c r="GI46" s="17"/>
      <c r="GJ46" s="17"/>
      <c r="GK46" s="17"/>
      <c r="GL46" s="17"/>
      <c r="GM46" s="17"/>
      <c r="GN46" s="17"/>
      <c r="GO46" s="17"/>
      <c r="GP46" s="17"/>
      <c r="GQ46" s="17"/>
      <c r="GR46" s="17"/>
      <c r="GS46" s="17"/>
      <c r="GT46" s="17"/>
      <c r="GU46" s="17"/>
      <c r="GV46" s="17"/>
      <c r="GW46" s="17"/>
      <c r="GX46" s="17"/>
      <c r="GY46" s="17"/>
      <c r="GZ46" s="17"/>
      <c r="HA46" s="17"/>
      <c r="HB46" s="17"/>
      <c r="HC46" s="17"/>
      <c r="HD46" s="17"/>
      <c r="HE46" s="17"/>
      <c r="HF46" s="17"/>
      <c r="HG46" s="17"/>
      <c r="HH46" s="17"/>
      <c r="HI46" s="17"/>
      <c r="HJ46" s="17"/>
      <c r="HK46" s="17"/>
      <c r="HL46" s="17"/>
      <c r="HM46" s="17"/>
      <c r="HN46" s="17"/>
      <c r="HO46" s="17"/>
      <c r="HP46" s="17"/>
      <c r="HQ46" s="17"/>
      <c r="HR46" s="17"/>
      <c r="HS46" s="17"/>
      <c r="HT46" s="17"/>
      <c r="HU46" s="17"/>
      <c r="HV46" s="17"/>
      <c r="HW46" s="17"/>
      <c r="HX46" s="17"/>
      <c r="HY46" s="17"/>
      <c r="HZ46" s="17"/>
      <c r="IA46" s="17"/>
      <c r="IB46" s="17"/>
      <c r="IC46" s="17"/>
      <c r="ID46" s="17"/>
      <c r="IE46" s="17"/>
      <c r="IF46" s="17"/>
      <c r="IG46" s="17"/>
      <c r="IH46" s="17"/>
      <c r="II46" s="17"/>
      <c r="IJ46" s="17"/>
      <c r="IK46" s="17"/>
      <c r="IL46" s="17"/>
      <c r="IM46" s="17"/>
      <c r="IN46" s="17"/>
      <c r="IO46" s="17"/>
      <c r="IP46" s="17"/>
      <c r="IQ46" s="17"/>
      <c r="IR46" s="17"/>
      <c r="IS46" s="17"/>
      <c r="IT46" s="17"/>
      <c r="IU46" s="17"/>
      <c r="IV46" s="17"/>
      <c r="IW46" s="17"/>
      <c r="IX46" s="17"/>
      <c r="IY46" s="17"/>
      <c r="IZ46" s="17"/>
      <c r="JA46" s="17"/>
      <c r="JB46" s="17"/>
      <c r="JC46" s="17"/>
      <c r="JD46" s="17"/>
      <c r="JE46" s="17"/>
      <c r="JF46" s="17"/>
      <c r="JG46" s="17"/>
      <c r="JH46" s="17"/>
      <c r="JI46" s="17"/>
      <c r="JJ46" s="17"/>
      <c r="JK46" s="17"/>
      <c r="JL46" s="17"/>
      <c r="JM46" s="17"/>
      <c r="JN46" s="17"/>
      <c r="JO46" s="17"/>
      <c r="JP46" s="17"/>
      <c r="JQ46" s="17"/>
      <c r="JR46" s="17"/>
      <c r="JS46" s="17"/>
      <c r="JT46" s="17"/>
      <c r="JU46" s="17"/>
      <c r="JV46" s="17"/>
      <c r="JW46" s="17"/>
      <c r="JX46" s="17"/>
      <c r="JY46" s="17"/>
      <c r="JZ46" s="17"/>
      <c r="KA46" s="17"/>
      <c r="KB46" s="17"/>
      <c r="KC46" s="17"/>
      <c r="KD46" s="17"/>
      <c r="KE46" s="17"/>
      <c r="KF46" s="17"/>
      <c r="KG46" s="17"/>
      <c r="KH46" s="17"/>
      <c r="KI46" s="17"/>
      <c r="KJ46" s="17"/>
      <c r="KK46" s="17"/>
      <c r="KL46" s="17"/>
      <c r="KM46" s="17"/>
      <c r="KN46" s="17"/>
      <c r="KO46" s="17"/>
      <c r="KP46" s="17"/>
      <c r="KQ46" s="17"/>
      <c r="KR46" s="17"/>
      <c r="KS46" s="17"/>
      <c r="KT46" s="17"/>
      <c r="KU46" s="17"/>
      <c r="KV46" s="17"/>
      <c r="KW46" s="17"/>
      <c r="KX46" s="17"/>
      <c r="KY46" s="17"/>
      <c r="KZ46" s="17"/>
      <c r="LA46" s="17"/>
      <c r="LB46" s="17"/>
      <c r="LC46" s="17"/>
      <c r="LD46" s="17"/>
      <c r="LE46" s="17"/>
      <c r="LF46" s="17"/>
      <c r="LG46" s="17"/>
      <c r="LH46" s="17"/>
      <c r="LI46" s="17"/>
      <c r="LJ46" s="17"/>
      <c r="LK46" s="17"/>
      <c r="LL46" s="17"/>
      <c r="LM46" s="17"/>
      <c r="LN46" s="17"/>
      <c r="LO46" s="17"/>
      <c r="LP46" s="17"/>
      <c r="LQ46" s="17"/>
      <c r="LR46" s="17"/>
      <c r="LS46" s="17"/>
      <c r="LT46" s="17"/>
      <c r="LU46" s="17"/>
      <c r="LV46" s="17"/>
      <c r="LW46" s="17"/>
      <c r="LX46" s="17"/>
      <c r="LY46" s="17"/>
      <c r="LZ46" s="17"/>
      <c r="MA46" s="17"/>
      <c r="MB46" s="17"/>
      <c r="MC46" s="17"/>
      <c r="MD46" s="17"/>
      <c r="ME46" s="17"/>
      <c r="MF46" s="17"/>
      <c r="MG46" s="17"/>
      <c r="MH46" s="17"/>
      <c r="MI46" s="17"/>
      <c r="MJ46" s="17"/>
      <c r="MK46" s="17"/>
      <c r="ML46" s="17"/>
      <c r="MM46" s="17"/>
      <c r="MN46" s="17"/>
      <c r="MO46" s="17"/>
      <c r="MP46" s="17"/>
      <c r="MQ46" s="17"/>
      <c r="MR46" s="17"/>
      <c r="MS46" s="17"/>
      <c r="MT46" s="17"/>
      <c r="MU46" s="17"/>
      <c r="MV46" s="17"/>
      <c r="MW46" s="17"/>
      <c r="MX46" s="17"/>
      <c r="MY46" s="17"/>
      <c r="MZ46" s="17"/>
      <c r="NA46" s="17"/>
      <c r="NB46" s="17"/>
      <c r="NC46" s="17"/>
      <c r="ND46" s="17"/>
      <c r="NE46" s="17"/>
      <c r="NF46" s="17"/>
      <c r="NG46" s="17"/>
      <c r="NH46" s="17"/>
      <c r="NI46" s="17"/>
      <c r="NJ46" s="17"/>
      <c r="NK46" s="17"/>
      <c r="NL46" s="17"/>
      <c r="NM46" s="17"/>
      <c r="NN46" s="17"/>
      <c r="NO46" s="17"/>
      <c r="NP46" s="17"/>
      <c r="NQ46" s="17"/>
      <c r="NR46" s="17"/>
      <c r="NS46" s="17"/>
      <c r="NT46" s="17"/>
      <c r="NU46" s="17"/>
      <c r="NV46" s="17"/>
      <c r="NW46" s="17"/>
      <c r="NX46" s="17"/>
      <c r="NY46" s="17"/>
      <c r="NZ46" s="17"/>
      <c r="OA46" s="17"/>
      <c r="OB46" s="17"/>
      <c r="OC46" s="17"/>
      <c r="OD46" s="17"/>
      <c r="OE46" s="17"/>
      <c r="OF46" s="17"/>
      <c r="OG46" s="17"/>
      <c r="OH46" s="17"/>
      <c r="OI46" s="17"/>
      <c r="OJ46" s="17"/>
      <c r="OK46" s="17"/>
      <c r="OL46" s="17"/>
      <c r="OM46" s="17"/>
      <c r="ON46" s="17"/>
      <c r="OO46" s="17"/>
      <c r="OP46" s="17"/>
      <c r="OQ46" s="17"/>
      <c r="OR46" s="17"/>
      <c r="OS46" s="17"/>
      <c r="OT46" s="17"/>
      <c r="OU46" s="17"/>
      <c r="OV46" s="17"/>
      <c r="OW46" s="17"/>
      <c r="OX46" s="17"/>
      <c r="OY46" s="17"/>
      <c r="OZ46" s="17"/>
      <c r="PA46" s="17"/>
      <c r="PB46" s="17"/>
      <c r="PC46" s="17"/>
      <c r="PD46" s="17"/>
      <c r="PE46" s="17"/>
      <c r="PF46" s="17"/>
      <c r="PG46" s="17"/>
      <c r="PH46" s="17"/>
      <c r="PI46" s="17"/>
      <c r="PJ46" s="17"/>
      <c r="PK46" s="17"/>
      <c r="PL46" s="17"/>
      <c r="PM46" s="17"/>
      <c r="PN46" s="17"/>
      <c r="PO46" s="17"/>
      <c r="PP46" s="17"/>
      <c r="PQ46" s="17"/>
      <c r="PR46" s="17"/>
      <c r="PS46" s="17"/>
      <c r="PT46" s="17"/>
      <c r="PU46" s="17"/>
      <c r="PV46" s="17"/>
      <c r="PW46" s="17"/>
      <c r="PX46" s="17"/>
      <c r="PY46" s="17"/>
      <c r="PZ46" s="17"/>
      <c r="QA46" s="17"/>
      <c r="QB46" s="17"/>
      <c r="QC46" s="17"/>
      <c r="QD46" s="17"/>
      <c r="QE46" s="17"/>
      <c r="QF46" s="17"/>
      <c r="QG46" s="17"/>
      <c r="QH46" s="17"/>
      <c r="QI46" s="17"/>
      <c r="QJ46" s="17"/>
      <c r="QK46" s="17"/>
      <c r="QL46" s="17"/>
      <c r="QM46" s="17"/>
      <c r="QN46" s="17"/>
      <c r="QO46" s="17"/>
      <c r="QP46" s="17"/>
      <c r="QQ46" s="17"/>
      <c r="QR46" s="17"/>
      <c r="QS46" s="17"/>
      <c r="QT46" s="17"/>
      <c r="QU46" s="17"/>
      <c r="QV46" s="17"/>
      <c r="QW46" s="17"/>
      <c r="QX46" s="17"/>
      <c r="QY46" s="17"/>
      <c r="QZ46" s="17"/>
      <c r="RA46" s="17"/>
      <c r="RB46" s="17"/>
      <c r="RC46" s="17"/>
      <c r="RD46" s="17"/>
      <c r="RE46" s="17"/>
      <c r="RF46" s="17"/>
      <c r="RG46" s="17"/>
      <c r="RH46" s="17"/>
      <c r="RI46" s="17"/>
      <c r="RJ46" s="17"/>
      <c r="RK46" s="17"/>
      <c r="RL46" s="17"/>
      <c r="RM46" s="17"/>
      <c r="RN46" s="17"/>
      <c r="RO46" s="17"/>
      <c r="RP46" s="17"/>
      <c r="RQ46" s="17"/>
      <c r="RR46" s="17"/>
      <c r="RS46" s="17"/>
      <c r="RT46" s="17"/>
      <c r="RU46" s="17"/>
      <c r="RV46" s="17"/>
      <c r="RW46" s="17"/>
      <c r="RX46" s="18"/>
    </row>
    <row r="47" spans="1:492" ht="14.4" hidden="1" outlineLevel="1">
      <c r="A47" s="19"/>
      <c r="D47" s="5" t="s">
        <v>45</v>
      </c>
      <c r="E47" s="4">
        <v>46244</v>
      </c>
      <c r="F47" s="4">
        <v>46247</v>
      </c>
      <c r="G47" s="2">
        <f t="shared" ref="G47:G51" si="8">NETWORKDAYS(E47, F47)</f>
        <v>4</v>
      </c>
      <c r="RX47" s="20"/>
    </row>
    <row r="48" spans="1:492" ht="14.4" hidden="1" outlineLevel="1">
      <c r="A48" s="19"/>
      <c r="D48" s="5" t="s">
        <v>46</v>
      </c>
      <c r="E48" s="4">
        <v>46247</v>
      </c>
      <c r="F48" s="4">
        <v>46247</v>
      </c>
      <c r="G48" s="2">
        <f t="shared" si="8"/>
        <v>1</v>
      </c>
      <c r="RX48" s="20"/>
    </row>
    <row r="49" spans="1:492" ht="14.4" hidden="1" outlineLevel="1">
      <c r="A49" s="19"/>
      <c r="D49" s="5" t="s">
        <v>47</v>
      </c>
      <c r="E49" s="4">
        <v>46247</v>
      </c>
      <c r="F49" s="4">
        <v>46258</v>
      </c>
      <c r="G49" s="2">
        <f t="shared" si="8"/>
        <v>8</v>
      </c>
      <c r="RX49" s="20"/>
    </row>
    <row r="50" spans="1:492" ht="14.4" hidden="1" outlineLevel="1">
      <c r="A50" s="19"/>
      <c r="D50" s="5" t="s">
        <v>48</v>
      </c>
      <c r="E50" s="4">
        <v>46258</v>
      </c>
      <c r="F50" s="4">
        <v>46258</v>
      </c>
      <c r="G50" s="2">
        <f t="shared" si="8"/>
        <v>1</v>
      </c>
      <c r="RX50" s="20"/>
    </row>
    <row r="51" spans="1:492" ht="14.4" hidden="1" outlineLevel="1">
      <c r="A51" s="19"/>
      <c r="D51" s="5" t="s">
        <v>49</v>
      </c>
      <c r="E51" s="4">
        <v>46267</v>
      </c>
      <c r="F51" s="4">
        <v>46267</v>
      </c>
      <c r="G51" s="2">
        <f t="shared" si="8"/>
        <v>1</v>
      </c>
      <c r="RX51" s="20"/>
    </row>
    <row r="52" spans="1:492" ht="14.4" hidden="1" outlineLevel="1">
      <c r="A52" s="19"/>
      <c r="D52" s="5" t="s">
        <v>50</v>
      </c>
      <c r="E52" s="4">
        <v>46267</v>
      </c>
      <c r="F52" s="4">
        <v>46357</v>
      </c>
      <c r="G52" s="34">
        <f>F52-E52</f>
        <v>90</v>
      </c>
      <c r="RX52" s="20"/>
    </row>
    <row r="53" spans="1:492" ht="14.4" hidden="1" outlineLevel="1">
      <c r="A53" s="19"/>
      <c r="D53" s="5" t="s">
        <v>51</v>
      </c>
      <c r="E53" s="4">
        <v>46357</v>
      </c>
      <c r="F53" s="4">
        <v>46363</v>
      </c>
      <c r="G53" s="2">
        <f t="shared" ref="G53:G67" si="9">NETWORKDAYS(E53, F53)</f>
        <v>5</v>
      </c>
      <c r="RX53" s="20"/>
    </row>
    <row r="54" spans="1:492" ht="14.4" hidden="1" outlineLevel="1">
      <c r="A54" s="19"/>
      <c r="D54" s="5" t="s">
        <v>52</v>
      </c>
      <c r="E54" s="4">
        <v>46372</v>
      </c>
      <c r="F54" s="4">
        <v>46372</v>
      </c>
      <c r="G54" s="2">
        <f t="shared" si="9"/>
        <v>1</v>
      </c>
      <c r="RX54" s="20"/>
    </row>
    <row r="55" spans="1:492" ht="14.4" hidden="1" outlineLevel="1">
      <c r="A55" s="19"/>
      <c r="D55" s="5" t="s">
        <v>29</v>
      </c>
      <c r="E55" s="4">
        <v>46377</v>
      </c>
      <c r="F55" s="4">
        <v>46377</v>
      </c>
      <c r="G55" s="2">
        <f t="shared" si="9"/>
        <v>1</v>
      </c>
      <c r="RX55" s="20"/>
    </row>
    <row r="56" spans="1:492" ht="14.4" hidden="1" outlineLevel="1">
      <c r="A56" s="19"/>
      <c r="D56" s="5" t="s">
        <v>30</v>
      </c>
      <c r="E56" s="4">
        <v>46378</v>
      </c>
      <c r="F56" s="4">
        <v>46378</v>
      </c>
      <c r="G56" s="2">
        <f t="shared" si="9"/>
        <v>1</v>
      </c>
      <c r="RX56" s="20"/>
    </row>
    <row r="57" spans="1:492" ht="14.4" hidden="1" outlineLevel="1">
      <c r="A57" s="19"/>
      <c r="D57" s="5" t="s">
        <v>53</v>
      </c>
      <c r="E57" s="4">
        <v>46384</v>
      </c>
      <c r="F57" s="4">
        <v>46384</v>
      </c>
      <c r="G57" s="2">
        <f t="shared" si="9"/>
        <v>1</v>
      </c>
      <c r="RX57" s="20"/>
    </row>
    <row r="58" spans="1:492" ht="14.4" hidden="1" outlineLevel="1">
      <c r="A58" s="19"/>
      <c r="D58" s="5" t="s">
        <v>54</v>
      </c>
      <c r="E58" s="4">
        <v>46384</v>
      </c>
      <c r="F58" s="4">
        <v>46393</v>
      </c>
      <c r="G58" s="2">
        <f t="shared" si="9"/>
        <v>8</v>
      </c>
      <c r="RX58" s="20"/>
    </row>
    <row r="59" spans="1:492" ht="14.4" hidden="1" outlineLevel="1">
      <c r="A59" s="19"/>
      <c r="D59" s="5" t="s">
        <v>34</v>
      </c>
      <c r="E59" s="4">
        <v>46393</v>
      </c>
      <c r="F59" s="4">
        <v>46393</v>
      </c>
      <c r="G59" s="2">
        <f t="shared" si="9"/>
        <v>1</v>
      </c>
      <c r="RX59" s="20"/>
    </row>
    <row r="60" spans="1:492" ht="14.4" hidden="1" outlineLevel="1">
      <c r="A60" s="19"/>
      <c r="D60" s="5" t="s">
        <v>35</v>
      </c>
      <c r="E60" s="4">
        <v>46393</v>
      </c>
      <c r="F60" s="4">
        <v>46398</v>
      </c>
      <c r="G60" s="2">
        <f t="shared" si="9"/>
        <v>4</v>
      </c>
      <c r="RX60" s="20"/>
    </row>
    <row r="61" spans="1:492" ht="14.4" hidden="1" outlineLevel="1">
      <c r="A61" s="19"/>
      <c r="D61" s="5" t="s">
        <v>36</v>
      </c>
      <c r="E61" s="4">
        <v>46398</v>
      </c>
      <c r="F61" s="4">
        <v>46398</v>
      </c>
      <c r="G61" s="2">
        <f t="shared" si="9"/>
        <v>1</v>
      </c>
      <c r="RX61" s="20"/>
    </row>
    <row r="62" spans="1:492" ht="14.4" hidden="1" outlineLevel="1">
      <c r="A62" s="19"/>
      <c r="D62" s="5" t="s">
        <v>37</v>
      </c>
      <c r="E62" s="4">
        <v>46399</v>
      </c>
      <c r="F62" s="4">
        <v>46399</v>
      </c>
      <c r="G62" s="2">
        <f t="shared" si="9"/>
        <v>1</v>
      </c>
      <c r="RX62" s="20"/>
    </row>
    <row r="63" spans="1:492" ht="14.4" hidden="1" outlineLevel="1">
      <c r="A63" s="19"/>
      <c r="D63" s="5" t="s">
        <v>38</v>
      </c>
      <c r="E63" s="4">
        <v>46400</v>
      </c>
      <c r="F63" s="4">
        <v>46401</v>
      </c>
      <c r="G63" s="2">
        <f t="shared" si="9"/>
        <v>2</v>
      </c>
      <c r="RX63" s="20"/>
    </row>
    <row r="64" spans="1:492" ht="14.4" hidden="1" outlineLevel="1">
      <c r="A64" s="19"/>
      <c r="D64" s="5" t="s">
        <v>55</v>
      </c>
      <c r="E64" s="4">
        <v>46404</v>
      </c>
      <c r="F64" s="4">
        <v>46404</v>
      </c>
      <c r="G64" s="2">
        <f t="shared" si="9"/>
        <v>0</v>
      </c>
      <c r="RX64" s="20"/>
    </row>
    <row r="65" spans="1:492" ht="14.4" hidden="1" outlineLevel="1">
      <c r="A65" s="19"/>
      <c r="D65" s="5" t="s">
        <v>40</v>
      </c>
      <c r="E65" s="4">
        <v>46405</v>
      </c>
      <c r="F65" s="4">
        <v>46409</v>
      </c>
      <c r="G65" s="2">
        <f t="shared" si="9"/>
        <v>5</v>
      </c>
      <c r="RX65" s="20"/>
    </row>
    <row r="66" spans="1:492" ht="14.4" hidden="1" outlineLevel="1">
      <c r="A66" s="19"/>
      <c r="D66" s="5" t="s">
        <v>41</v>
      </c>
      <c r="E66" s="4">
        <v>46409</v>
      </c>
      <c r="F66" s="4">
        <v>46409</v>
      </c>
      <c r="G66" s="2">
        <f t="shared" si="9"/>
        <v>1</v>
      </c>
      <c r="RX66" s="20"/>
    </row>
    <row r="67" spans="1:492" ht="14.4" hidden="1" outlineLevel="1">
      <c r="A67" s="19"/>
      <c r="D67" s="5" t="s">
        <v>56</v>
      </c>
      <c r="E67" s="4">
        <v>46409</v>
      </c>
      <c r="F67" s="4">
        <v>46409</v>
      </c>
      <c r="G67" s="2">
        <f t="shared" si="9"/>
        <v>1</v>
      </c>
      <c r="RX67" s="20"/>
    </row>
    <row r="68" spans="1:492" ht="14.4" hidden="1" outlineLevel="1">
      <c r="A68" s="19"/>
      <c r="RX68" s="20"/>
    </row>
    <row r="69" spans="1:492" ht="14.4" hidden="1" outlineLevel="1">
      <c r="A69" s="19"/>
      <c r="RX69" s="20"/>
    </row>
    <row r="70" spans="1:492" ht="14.4" collapsed="1">
      <c r="A70" s="13" t="s">
        <v>57</v>
      </c>
      <c r="B70" s="14" t="s">
        <v>22</v>
      </c>
      <c r="C70" s="33">
        <f>COUNTA(I71:I85)/COUNTA(F71:F85)</f>
        <v>0</v>
      </c>
      <c r="D70" s="15"/>
      <c r="E70" s="16">
        <f>E71</f>
        <v>46244</v>
      </c>
      <c r="F70" s="16">
        <f>F91</f>
        <v>46395</v>
      </c>
      <c r="G70" s="35">
        <f>F70-E70</f>
        <v>151</v>
      </c>
      <c r="H70" s="16"/>
      <c r="I70" s="16"/>
      <c r="J70" s="14"/>
      <c r="K70" s="14" t="s">
        <v>44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  <c r="FN70" s="17"/>
      <c r="FO70" s="17"/>
      <c r="FP70" s="17"/>
      <c r="FQ70" s="17"/>
      <c r="FR70" s="17"/>
      <c r="FS70" s="17"/>
      <c r="FT70" s="17"/>
      <c r="FU70" s="17"/>
      <c r="FV70" s="17"/>
      <c r="FW70" s="17"/>
      <c r="FX70" s="17"/>
      <c r="FY70" s="17"/>
      <c r="FZ70" s="17"/>
      <c r="GA70" s="17"/>
      <c r="GB70" s="17"/>
      <c r="GC70" s="17"/>
      <c r="GD70" s="17"/>
      <c r="GE70" s="17"/>
      <c r="GF70" s="17"/>
      <c r="GG70" s="17"/>
      <c r="GH70" s="17"/>
      <c r="GI70" s="17"/>
      <c r="GJ70" s="17"/>
      <c r="GK70" s="17"/>
      <c r="GL70" s="17"/>
      <c r="GM70" s="17"/>
      <c r="GN70" s="17"/>
      <c r="GO70" s="17"/>
      <c r="GP70" s="17"/>
      <c r="GQ70" s="17"/>
      <c r="GR70" s="17"/>
      <c r="GS70" s="17"/>
      <c r="GT70" s="17"/>
      <c r="GU70" s="17"/>
      <c r="GV70" s="17"/>
      <c r="GW70" s="17"/>
      <c r="GX70" s="17"/>
      <c r="GY70" s="17"/>
      <c r="GZ70" s="17"/>
      <c r="HA70" s="17"/>
      <c r="HB70" s="17"/>
      <c r="HC70" s="17"/>
      <c r="HD70" s="17"/>
      <c r="HE70" s="17"/>
      <c r="HF70" s="17"/>
      <c r="HG70" s="17"/>
      <c r="HH70" s="17"/>
      <c r="HI70" s="17"/>
      <c r="HJ70" s="17"/>
      <c r="HK70" s="17"/>
      <c r="HL70" s="17"/>
      <c r="HM70" s="17"/>
      <c r="HN70" s="17"/>
      <c r="HO70" s="17"/>
      <c r="HP70" s="17"/>
      <c r="HQ70" s="17"/>
      <c r="HR70" s="17"/>
      <c r="HS70" s="17"/>
      <c r="HT70" s="17"/>
      <c r="HU70" s="17"/>
      <c r="HV70" s="17"/>
      <c r="HW70" s="17"/>
      <c r="HX70" s="17"/>
      <c r="HY70" s="17"/>
      <c r="HZ70" s="17"/>
      <c r="IA70" s="17"/>
      <c r="IB70" s="17"/>
      <c r="IC70" s="17"/>
      <c r="ID70" s="17"/>
      <c r="IE70" s="17"/>
      <c r="IF70" s="17"/>
      <c r="IG70" s="17"/>
      <c r="IH70" s="17"/>
      <c r="II70" s="17"/>
      <c r="IJ70" s="17"/>
      <c r="IK70" s="17"/>
      <c r="IL70" s="17"/>
      <c r="IM70" s="17"/>
      <c r="IN70" s="17"/>
      <c r="IO70" s="17"/>
      <c r="IP70" s="17"/>
      <c r="IQ70" s="17"/>
      <c r="IR70" s="17"/>
      <c r="IS70" s="17"/>
      <c r="IT70" s="17"/>
      <c r="IU70" s="17"/>
      <c r="IV70" s="17"/>
      <c r="IW70" s="17"/>
      <c r="IX70" s="17"/>
      <c r="IY70" s="17"/>
      <c r="IZ70" s="17"/>
      <c r="JA70" s="17"/>
      <c r="JB70" s="17"/>
      <c r="JC70" s="17"/>
      <c r="JD70" s="17"/>
      <c r="JE70" s="17"/>
      <c r="JF70" s="17"/>
      <c r="JG70" s="17"/>
      <c r="JH70" s="17"/>
      <c r="JI70" s="17"/>
      <c r="JJ70" s="17"/>
      <c r="JK70" s="17"/>
      <c r="JL70" s="17"/>
      <c r="JM70" s="17"/>
      <c r="JN70" s="17"/>
      <c r="JO70" s="17"/>
      <c r="JP70" s="17"/>
      <c r="JQ70" s="17"/>
      <c r="JR70" s="17"/>
      <c r="JS70" s="17"/>
      <c r="JT70" s="17"/>
      <c r="JU70" s="17"/>
      <c r="JV70" s="17"/>
      <c r="JW70" s="17"/>
      <c r="JX70" s="17"/>
      <c r="JY70" s="17"/>
      <c r="JZ70" s="17"/>
      <c r="KA70" s="17"/>
      <c r="KB70" s="17"/>
      <c r="KC70" s="17"/>
      <c r="KD70" s="17"/>
      <c r="KE70" s="17"/>
      <c r="KF70" s="17"/>
      <c r="KG70" s="17"/>
      <c r="KH70" s="17"/>
      <c r="KI70" s="17"/>
      <c r="KJ70" s="17"/>
      <c r="KK70" s="17"/>
      <c r="KL70" s="17"/>
      <c r="KM70" s="17"/>
      <c r="KN70" s="17"/>
      <c r="KO70" s="17"/>
      <c r="KP70" s="17"/>
      <c r="KQ70" s="17"/>
      <c r="KR70" s="17"/>
      <c r="KS70" s="17"/>
      <c r="KT70" s="17"/>
      <c r="KU70" s="17"/>
      <c r="KV70" s="17"/>
      <c r="KW70" s="17"/>
      <c r="KX70" s="17"/>
      <c r="KY70" s="17"/>
      <c r="KZ70" s="17"/>
      <c r="LA70" s="17"/>
      <c r="LB70" s="17"/>
      <c r="LC70" s="17"/>
      <c r="LD70" s="17"/>
      <c r="LE70" s="17"/>
      <c r="LF70" s="17"/>
      <c r="LG70" s="17"/>
      <c r="LH70" s="17"/>
      <c r="LI70" s="17"/>
      <c r="LJ70" s="17"/>
      <c r="LK70" s="17"/>
      <c r="LL70" s="17"/>
      <c r="LM70" s="17"/>
      <c r="LN70" s="17"/>
      <c r="LO70" s="17"/>
      <c r="LP70" s="17"/>
      <c r="LQ70" s="17"/>
      <c r="LR70" s="17"/>
      <c r="LS70" s="17"/>
      <c r="LT70" s="17"/>
      <c r="LU70" s="17"/>
      <c r="LV70" s="17"/>
      <c r="LW70" s="17"/>
      <c r="LX70" s="17"/>
      <c r="LY70" s="17"/>
      <c r="LZ70" s="17"/>
      <c r="MA70" s="17"/>
      <c r="MB70" s="17"/>
      <c r="MC70" s="17"/>
      <c r="MD70" s="17"/>
      <c r="ME70" s="17"/>
      <c r="MF70" s="17"/>
      <c r="MG70" s="17"/>
      <c r="MH70" s="17"/>
      <c r="MI70" s="17"/>
      <c r="MJ70" s="17"/>
      <c r="MK70" s="17"/>
      <c r="ML70" s="17"/>
      <c r="MM70" s="17"/>
      <c r="MN70" s="17"/>
      <c r="MO70" s="17"/>
      <c r="MP70" s="17"/>
      <c r="MQ70" s="17"/>
      <c r="MR70" s="17"/>
      <c r="MS70" s="17"/>
      <c r="MT70" s="17"/>
      <c r="MU70" s="17"/>
      <c r="MV70" s="17"/>
      <c r="MW70" s="17"/>
      <c r="MX70" s="17"/>
      <c r="MY70" s="17"/>
      <c r="MZ70" s="17"/>
      <c r="NA70" s="17"/>
      <c r="NB70" s="17"/>
      <c r="NC70" s="17"/>
      <c r="ND70" s="17"/>
      <c r="NE70" s="17"/>
      <c r="NF70" s="17"/>
      <c r="NG70" s="17"/>
      <c r="NH70" s="17"/>
      <c r="NI70" s="17"/>
      <c r="NJ70" s="17"/>
      <c r="NK70" s="17"/>
      <c r="NL70" s="17"/>
      <c r="NM70" s="17"/>
      <c r="NN70" s="17"/>
      <c r="NO70" s="17"/>
      <c r="NP70" s="17"/>
      <c r="NQ70" s="17"/>
      <c r="NR70" s="17"/>
      <c r="NS70" s="17"/>
      <c r="NT70" s="17"/>
      <c r="NU70" s="17"/>
      <c r="NV70" s="17"/>
      <c r="NW70" s="17"/>
      <c r="NX70" s="17"/>
      <c r="NY70" s="17"/>
      <c r="NZ70" s="17"/>
      <c r="OA70" s="17"/>
      <c r="OB70" s="17"/>
      <c r="OC70" s="17"/>
      <c r="OD70" s="17"/>
      <c r="OE70" s="17"/>
      <c r="OF70" s="17"/>
      <c r="OG70" s="17"/>
      <c r="OH70" s="17"/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  <c r="OW70" s="17"/>
      <c r="OX70" s="17"/>
      <c r="OY70" s="17"/>
      <c r="OZ70" s="17"/>
      <c r="PA70" s="17"/>
      <c r="PB70" s="17"/>
      <c r="PC70" s="17"/>
      <c r="PD70" s="17"/>
      <c r="PE70" s="17"/>
      <c r="PF70" s="17"/>
      <c r="PG70" s="17"/>
      <c r="PH70" s="17"/>
      <c r="PI70" s="17"/>
      <c r="PJ70" s="17"/>
      <c r="PK70" s="17"/>
      <c r="PL70" s="17"/>
      <c r="PM70" s="17"/>
      <c r="PN70" s="17"/>
      <c r="PO70" s="17"/>
      <c r="PP70" s="17"/>
      <c r="PQ70" s="17"/>
      <c r="PR70" s="17"/>
      <c r="PS70" s="17"/>
      <c r="PT70" s="17"/>
      <c r="PU70" s="17"/>
      <c r="PV70" s="17"/>
      <c r="PW70" s="17"/>
      <c r="PX70" s="17"/>
      <c r="PY70" s="17"/>
      <c r="PZ70" s="17"/>
      <c r="QA70" s="17"/>
      <c r="QB70" s="17"/>
      <c r="QC70" s="17"/>
      <c r="QD70" s="17"/>
      <c r="QE70" s="17"/>
      <c r="QF70" s="17"/>
      <c r="QG70" s="17"/>
      <c r="QH70" s="17"/>
      <c r="QI70" s="17"/>
      <c r="QJ70" s="17"/>
      <c r="QK70" s="17"/>
      <c r="QL70" s="17"/>
      <c r="QM70" s="17"/>
      <c r="QN70" s="17"/>
      <c r="QO70" s="17"/>
      <c r="QP70" s="17"/>
      <c r="QQ70" s="17"/>
      <c r="QR70" s="17"/>
      <c r="QS70" s="17"/>
      <c r="QT70" s="17"/>
      <c r="QU70" s="17"/>
      <c r="QV70" s="17"/>
      <c r="QW70" s="17"/>
      <c r="QX70" s="17"/>
      <c r="QY70" s="17"/>
      <c r="QZ70" s="17"/>
      <c r="RA70" s="17"/>
      <c r="RB70" s="17"/>
      <c r="RC70" s="17"/>
      <c r="RD70" s="17"/>
      <c r="RE70" s="17"/>
      <c r="RF70" s="17"/>
      <c r="RG70" s="17"/>
      <c r="RH70" s="17"/>
      <c r="RI70" s="17"/>
      <c r="RJ70" s="17"/>
      <c r="RK70" s="17"/>
      <c r="RL70" s="17"/>
      <c r="RM70" s="17"/>
      <c r="RN70" s="17"/>
      <c r="RO70" s="17"/>
      <c r="RP70" s="17"/>
      <c r="RQ70" s="17"/>
      <c r="RR70" s="17"/>
      <c r="RS70" s="17"/>
      <c r="RT70" s="17"/>
      <c r="RU70" s="17"/>
      <c r="RV70" s="17"/>
      <c r="RW70" s="17"/>
      <c r="RX70" s="18"/>
    </row>
    <row r="71" spans="1:492" ht="14.4" hidden="1" outlineLevel="1">
      <c r="A71" s="19"/>
      <c r="D71" s="5" t="s">
        <v>45</v>
      </c>
      <c r="E71" s="4">
        <v>46244</v>
      </c>
      <c r="F71" s="4">
        <v>46247</v>
      </c>
      <c r="G71" s="2">
        <f t="shared" ref="G71:G75" si="10">NETWORKDAYS(E71, F71)</f>
        <v>4</v>
      </c>
      <c r="RX71" s="20"/>
    </row>
    <row r="72" spans="1:492" ht="14.4" hidden="1" outlineLevel="1">
      <c r="A72" s="19"/>
      <c r="D72" s="5" t="s">
        <v>46</v>
      </c>
      <c r="E72" s="4">
        <v>46247</v>
      </c>
      <c r="F72" s="4">
        <v>46247</v>
      </c>
      <c r="G72" s="2">
        <f t="shared" si="10"/>
        <v>1</v>
      </c>
      <c r="RX72" s="20"/>
    </row>
    <row r="73" spans="1:492" ht="14.4" hidden="1" outlineLevel="1">
      <c r="A73" s="19"/>
      <c r="D73" s="5" t="s">
        <v>47</v>
      </c>
      <c r="E73" s="4">
        <v>46247</v>
      </c>
      <c r="F73" s="4">
        <v>46258</v>
      </c>
      <c r="G73" s="2">
        <f t="shared" si="10"/>
        <v>8</v>
      </c>
      <c r="RX73" s="20"/>
    </row>
    <row r="74" spans="1:492" ht="14.4" hidden="1" outlineLevel="1">
      <c r="A74" s="19"/>
      <c r="D74" s="5" t="s">
        <v>48</v>
      </c>
      <c r="E74" s="4">
        <v>46258</v>
      </c>
      <c r="F74" s="4">
        <v>46258</v>
      </c>
      <c r="G74" s="2">
        <f t="shared" si="10"/>
        <v>1</v>
      </c>
      <c r="RX74" s="20"/>
    </row>
    <row r="75" spans="1:492" ht="14.4" hidden="1" outlineLevel="1">
      <c r="A75" s="19"/>
      <c r="D75" s="5" t="s">
        <v>49</v>
      </c>
      <c r="E75" s="4">
        <v>46267</v>
      </c>
      <c r="F75" s="4">
        <v>46267</v>
      </c>
      <c r="G75" s="2">
        <f t="shared" si="10"/>
        <v>1</v>
      </c>
      <c r="RX75" s="20"/>
    </row>
    <row r="76" spans="1:492" ht="14.4" hidden="1" outlineLevel="1">
      <c r="A76" s="19"/>
      <c r="D76" s="5" t="s">
        <v>50</v>
      </c>
      <c r="E76" s="4">
        <v>46267</v>
      </c>
      <c r="F76" s="4">
        <v>46342</v>
      </c>
      <c r="G76" s="34">
        <f>F76-E76</f>
        <v>75</v>
      </c>
      <c r="RX76" s="20"/>
    </row>
    <row r="77" spans="1:492" ht="14.4" hidden="1" outlineLevel="1">
      <c r="A77" s="19"/>
      <c r="D77" s="5" t="s">
        <v>51</v>
      </c>
      <c r="E77" s="4">
        <v>46342</v>
      </c>
      <c r="F77" s="4">
        <v>46346</v>
      </c>
      <c r="G77" s="2">
        <f t="shared" ref="G77:G91" si="11">NETWORKDAYS(E77, F77)</f>
        <v>5</v>
      </c>
      <c r="RX77" s="20"/>
    </row>
    <row r="78" spans="1:492" ht="14.4" hidden="1" outlineLevel="1">
      <c r="A78" s="19"/>
      <c r="D78" s="5" t="s">
        <v>52</v>
      </c>
      <c r="E78" s="4">
        <v>46358</v>
      </c>
      <c r="F78" s="4">
        <v>46358</v>
      </c>
      <c r="G78" s="2">
        <f t="shared" si="11"/>
        <v>1</v>
      </c>
      <c r="RX78" s="20"/>
    </row>
    <row r="79" spans="1:492" ht="14.4" hidden="1" outlineLevel="1">
      <c r="A79" s="19"/>
      <c r="D79" s="5" t="s">
        <v>29</v>
      </c>
      <c r="E79" s="4">
        <v>46363</v>
      </c>
      <c r="F79" s="4">
        <v>46363</v>
      </c>
      <c r="G79" s="2">
        <f t="shared" si="11"/>
        <v>1</v>
      </c>
      <c r="RX79" s="20"/>
    </row>
    <row r="80" spans="1:492" ht="14.4" hidden="1" outlineLevel="1">
      <c r="A80" s="19"/>
      <c r="D80" s="5" t="s">
        <v>30</v>
      </c>
      <c r="E80" s="4">
        <v>46365</v>
      </c>
      <c r="F80" s="4">
        <v>46365</v>
      </c>
      <c r="G80" s="2">
        <f t="shared" si="11"/>
        <v>1</v>
      </c>
      <c r="RX80" s="20"/>
    </row>
    <row r="81" spans="1:492" ht="14.4" hidden="1" outlineLevel="1">
      <c r="A81" s="19"/>
      <c r="D81" s="5" t="s">
        <v>53</v>
      </c>
      <c r="E81" s="4">
        <v>46370</v>
      </c>
      <c r="F81" s="4">
        <v>46370</v>
      </c>
      <c r="G81" s="2">
        <f t="shared" si="11"/>
        <v>1</v>
      </c>
      <c r="RX81" s="20"/>
    </row>
    <row r="82" spans="1:492" ht="14.4" hidden="1" outlineLevel="1">
      <c r="A82" s="19"/>
      <c r="D82" s="5" t="s">
        <v>54</v>
      </c>
      <c r="E82" s="4">
        <v>46370</v>
      </c>
      <c r="F82" s="4">
        <v>46379</v>
      </c>
      <c r="G82" s="2">
        <f t="shared" si="11"/>
        <v>8</v>
      </c>
      <c r="RX82" s="20"/>
    </row>
    <row r="83" spans="1:492" ht="14.4" hidden="1" outlineLevel="1">
      <c r="A83" s="19"/>
      <c r="D83" s="5" t="s">
        <v>34</v>
      </c>
      <c r="E83" s="4">
        <v>46379</v>
      </c>
      <c r="F83" s="4">
        <v>46379</v>
      </c>
      <c r="G83" s="2">
        <f t="shared" si="11"/>
        <v>1</v>
      </c>
      <c r="RX83" s="20"/>
    </row>
    <row r="84" spans="1:492" ht="14.4" hidden="1" outlineLevel="1">
      <c r="A84" s="19"/>
      <c r="D84" s="5" t="s">
        <v>35</v>
      </c>
      <c r="E84" s="4">
        <v>46379</v>
      </c>
      <c r="F84" s="4">
        <v>46384</v>
      </c>
      <c r="G84" s="2">
        <f t="shared" si="11"/>
        <v>4</v>
      </c>
      <c r="RX84" s="20"/>
    </row>
    <row r="85" spans="1:492" ht="14.4" hidden="1" outlineLevel="1">
      <c r="A85" s="19"/>
      <c r="D85" s="5" t="s">
        <v>36</v>
      </c>
      <c r="E85" s="4">
        <v>46384</v>
      </c>
      <c r="F85" s="4">
        <v>46384</v>
      </c>
      <c r="G85" s="2">
        <f t="shared" si="11"/>
        <v>1</v>
      </c>
      <c r="RX85" s="20"/>
    </row>
    <row r="86" spans="1:492" ht="14.4" hidden="1" outlineLevel="1">
      <c r="A86" s="19"/>
      <c r="D86" s="5" t="s">
        <v>37</v>
      </c>
      <c r="E86" s="4">
        <v>46385</v>
      </c>
      <c r="F86" s="4">
        <v>46385</v>
      </c>
      <c r="G86" s="2">
        <f t="shared" si="11"/>
        <v>1</v>
      </c>
      <c r="RX86" s="20"/>
    </row>
    <row r="87" spans="1:492" ht="14.4" hidden="1" outlineLevel="1">
      <c r="A87" s="19"/>
      <c r="D87" s="5" t="s">
        <v>38</v>
      </c>
      <c r="E87" s="4">
        <v>46386</v>
      </c>
      <c r="F87" s="4">
        <v>46387</v>
      </c>
      <c r="G87" s="2">
        <f t="shared" si="11"/>
        <v>2</v>
      </c>
      <c r="RX87" s="20"/>
    </row>
    <row r="88" spans="1:492" ht="14.4" hidden="1" outlineLevel="1">
      <c r="A88" s="19"/>
      <c r="D88" s="5" t="s">
        <v>55</v>
      </c>
      <c r="E88" s="4">
        <v>46390</v>
      </c>
      <c r="F88" s="4">
        <v>46390</v>
      </c>
      <c r="G88" s="2">
        <f t="shared" si="11"/>
        <v>0</v>
      </c>
      <c r="RX88" s="20"/>
    </row>
    <row r="89" spans="1:492" ht="14.4" hidden="1" outlineLevel="1">
      <c r="A89" s="19"/>
      <c r="D89" s="5" t="s">
        <v>40</v>
      </c>
      <c r="E89" s="4">
        <v>46391</v>
      </c>
      <c r="F89" s="4">
        <v>46395</v>
      </c>
      <c r="G89" s="2">
        <f t="shared" si="11"/>
        <v>5</v>
      </c>
      <c r="RX89" s="20"/>
    </row>
    <row r="90" spans="1:492" ht="14.4" hidden="1" outlineLevel="1">
      <c r="A90" s="19"/>
      <c r="D90" s="5" t="s">
        <v>41</v>
      </c>
      <c r="E90" s="4">
        <v>46395</v>
      </c>
      <c r="F90" s="4">
        <v>46395</v>
      </c>
      <c r="G90" s="2">
        <f t="shared" si="11"/>
        <v>1</v>
      </c>
      <c r="RX90" s="20"/>
    </row>
    <row r="91" spans="1:492" ht="14.4" hidden="1" outlineLevel="1">
      <c r="A91" s="19"/>
      <c r="D91" s="5" t="s">
        <v>56</v>
      </c>
      <c r="E91" s="4">
        <v>46395</v>
      </c>
      <c r="F91" s="4">
        <v>46395</v>
      </c>
      <c r="G91" s="2">
        <f t="shared" si="11"/>
        <v>1</v>
      </c>
      <c r="RX91" s="20"/>
    </row>
    <row r="92" spans="1:492" ht="14.4" hidden="1" outlineLevel="1">
      <c r="A92" s="19"/>
      <c r="RX92" s="20"/>
    </row>
    <row r="93" spans="1:492" ht="14.4" hidden="1" outlineLevel="1">
      <c r="A93" s="19"/>
      <c r="RX93" s="20"/>
    </row>
    <row r="94" spans="1:492" ht="14.4" hidden="1" outlineLevel="1">
      <c r="A94" s="19"/>
      <c r="RX94" s="20"/>
    </row>
    <row r="95" spans="1:492" ht="14.4" hidden="1" outlineLevel="1">
      <c r="A95" s="19"/>
      <c r="RX95" s="20"/>
    </row>
    <row r="96" spans="1:492" ht="14.4" hidden="1" outlineLevel="1">
      <c r="A96" s="21"/>
      <c r="B96" s="22"/>
      <c r="C96" s="22"/>
      <c r="D96" s="23"/>
      <c r="E96" s="24"/>
      <c r="F96" s="24"/>
      <c r="G96" s="22"/>
      <c r="H96" s="24"/>
      <c r="I96" s="24"/>
      <c r="J96" s="22"/>
      <c r="K96" s="22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  <c r="DA96" s="25"/>
      <c r="DB96" s="25"/>
      <c r="DC96" s="25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5"/>
      <c r="EY96" s="25"/>
      <c r="EZ96" s="25"/>
      <c r="FA96" s="25"/>
      <c r="FB96" s="25"/>
      <c r="FC96" s="25"/>
      <c r="FD96" s="25"/>
      <c r="FE96" s="25"/>
      <c r="FF96" s="25"/>
      <c r="FG96" s="25"/>
      <c r="FH96" s="25"/>
      <c r="FI96" s="25"/>
      <c r="FJ96" s="25"/>
      <c r="FK96" s="25"/>
      <c r="FL96" s="25"/>
      <c r="FM96" s="25"/>
      <c r="FN96" s="25"/>
      <c r="FO96" s="25"/>
      <c r="FP96" s="25"/>
      <c r="FQ96" s="25"/>
      <c r="FR96" s="25"/>
      <c r="FS96" s="25"/>
      <c r="FT96" s="25"/>
      <c r="FU96" s="25"/>
      <c r="FV96" s="25"/>
      <c r="FW96" s="25"/>
      <c r="FX96" s="25"/>
      <c r="FY96" s="25"/>
      <c r="FZ96" s="25"/>
      <c r="GA96" s="25"/>
      <c r="GB96" s="25"/>
      <c r="GC96" s="25"/>
      <c r="GD96" s="25"/>
      <c r="GE96" s="25"/>
      <c r="GF96" s="25"/>
      <c r="GG96" s="25"/>
      <c r="GH96" s="25"/>
      <c r="GI96" s="25"/>
      <c r="GJ96" s="25"/>
      <c r="GK96" s="25"/>
      <c r="GL96" s="25"/>
      <c r="GM96" s="25"/>
      <c r="GN96" s="25"/>
      <c r="GO96" s="25"/>
      <c r="GP96" s="25"/>
      <c r="GQ96" s="25"/>
      <c r="GR96" s="25"/>
      <c r="GS96" s="25"/>
      <c r="GT96" s="25"/>
      <c r="GU96" s="25"/>
      <c r="GV96" s="25"/>
      <c r="GW96" s="25"/>
      <c r="GX96" s="25"/>
      <c r="GY96" s="25"/>
      <c r="GZ96" s="25"/>
      <c r="HA96" s="25"/>
      <c r="HB96" s="25"/>
      <c r="HC96" s="25"/>
      <c r="HD96" s="25"/>
      <c r="HE96" s="25"/>
      <c r="HF96" s="25"/>
      <c r="HG96" s="25"/>
      <c r="HH96" s="25"/>
      <c r="HI96" s="25"/>
      <c r="HJ96" s="25"/>
      <c r="HK96" s="25"/>
      <c r="HL96" s="25"/>
      <c r="HM96" s="25"/>
      <c r="HN96" s="25"/>
      <c r="HO96" s="25"/>
      <c r="HP96" s="25"/>
      <c r="HQ96" s="25"/>
      <c r="HR96" s="25"/>
      <c r="HS96" s="25"/>
      <c r="HT96" s="25"/>
      <c r="HU96" s="25"/>
      <c r="HV96" s="25"/>
      <c r="HW96" s="25"/>
      <c r="HX96" s="25"/>
      <c r="HY96" s="25"/>
      <c r="HZ96" s="25"/>
      <c r="IA96" s="25"/>
      <c r="IB96" s="25"/>
      <c r="IC96" s="25"/>
      <c r="ID96" s="25"/>
      <c r="IE96" s="25"/>
      <c r="IF96" s="25"/>
      <c r="IG96" s="25"/>
      <c r="IH96" s="25"/>
      <c r="II96" s="25"/>
      <c r="IJ96" s="25"/>
      <c r="IK96" s="25"/>
      <c r="IL96" s="25"/>
      <c r="IM96" s="25"/>
      <c r="IN96" s="25"/>
      <c r="IO96" s="25"/>
      <c r="IP96" s="25"/>
      <c r="IQ96" s="25"/>
      <c r="IR96" s="25"/>
      <c r="IS96" s="25"/>
      <c r="IT96" s="25"/>
      <c r="IU96" s="25"/>
      <c r="IV96" s="25"/>
      <c r="IW96" s="25"/>
      <c r="IX96" s="25"/>
      <c r="IY96" s="25"/>
      <c r="IZ96" s="25"/>
      <c r="JA96" s="25"/>
      <c r="JB96" s="25"/>
      <c r="JC96" s="25"/>
      <c r="JD96" s="25"/>
      <c r="JE96" s="25"/>
      <c r="JF96" s="25"/>
      <c r="JG96" s="25"/>
      <c r="JH96" s="25"/>
      <c r="JI96" s="25"/>
      <c r="JJ96" s="25"/>
      <c r="JK96" s="25"/>
      <c r="JL96" s="25"/>
      <c r="JM96" s="25"/>
      <c r="JN96" s="25"/>
      <c r="JO96" s="25"/>
      <c r="JP96" s="25"/>
      <c r="JQ96" s="25"/>
      <c r="JR96" s="25"/>
      <c r="JS96" s="25"/>
      <c r="JT96" s="25"/>
      <c r="JU96" s="25"/>
      <c r="JV96" s="25"/>
      <c r="JW96" s="25"/>
      <c r="JX96" s="25"/>
      <c r="JY96" s="25"/>
      <c r="JZ96" s="25"/>
      <c r="KA96" s="25"/>
      <c r="KB96" s="25"/>
      <c r="KC96" s="25"/>
      <c r="KD96" s="25"/>
      <c r="KE96" s="25"/>
      <c r="KF96" s="25"/>
      <c r="KG96" s="25"/>
      <c r="KH96" s="25"/>
      <c r="KI96" s="25"/>
      <c r="KJ96" s="25"/>
      <c r="KK96" s="25"/>
      <c r="KL96" s="25"/>
      <c r="KM96" s="25"/>
      <c r="KN96" s="25"/>
      <c r="KO96" s="25"/>
      <c r="KP96" s="25"/>
      <c r="KQ96" s="25"/>
      <c r="KR96" s="25"/>
      <c r="KS96" s="25"/>
      <c r="KT96" s="25"/>
      <c r="KU96" s="25"/>
      <c r="KV96" s="25"/>
      <c r="KW96" s="25"/>
      <c r="KX96" s="25"/>
      <c r="KY96" s="25"/>
      <c r="KZ96" s="25"/>
      <c r="LA96" s="25"/>
      <c r="LB96" s="25"/>
      <c r="LC96" s="25"/>
      <c r="LD96" s="25"/>
      <c r="LE96" s="25"/>
      <c r="LF96" s="25"/>
      <c r="LG96" s="25"/>
      <c r="LH96" s="25"/>
      <c r="LI96" s="25"/>
      <c r="LJ96" s="25"/>
      <c r="LK96" s="25"/>
      <c r="LL96" s="25"/>
      <c r="LM96" s="25"/>
      <c r="LN96" s="25"/>
      <c r="LO96" s="25"/>
      <c r="LP96" s="25"/>
      <c r="LQ96" s="25"/>
      <c r="LR96" s="25"/>
      <c r="LS96" s="25"/>
      <c r="LT96" s="25"/>
      <c r="LU96" s="25"/>
      <c r="LV96" s="25"/>
      <c r="LW96" s="25"/>
      <c r="LX96" s="25"/>
      <c r="LY96" s="25"/>
      <c r="LZ96" s="25"/>
      <c r="MA96" s="25"/>
      <c r="MB96" s="25"/>
      <c r="MC96" s="25"/>
      <c r="MD96" s="25"/>
      <c r="ME96" s="25"/>
      <c r="MF96" s="25"/>
      <c r="MG96" s="25"/>
      <c r="MH96" s="25"/>
      <c r="MI96" s="25"/>
      <c r="MJ96" s="25"/>
      <c r="MK96" s="25"/>
      <c r="ML96" s="25"/>
      <c r="MM96" s="25"/>
      <c r="MN96" s="25"/>
      <c r="MO96" s="25"/>
      <c r="MP96" s="25"/>
      <c r="MQ96" s="25"/>
      <c r="MR96" s="25"/>
      <c r="MS96" s="25"/>
      <c r="MT96" s="25"/>
      <c r="MU96" s="25"/>
      <c r="MV96" s="25"/>
      <c r="MW96" s="25"/>
      <c r="MX96" s="25"/>
      <c r="MY96" s="25"/>
      <c r="MZ96" s="25"/>
      <c r="NA96" s="25"/>
      <c r="NB96" s="25"/>
      <c r="NC96" s="25"/>
      <c r="ND96" s="25"/>
      <c r="NE96" s="25"/>
      <c r="NF96" s="25"/>
      <c r="NG96" s="25"/>
      <c r="NH96" s="25"/>
      <c r="NI96" s="25"/>
      <c r="NJ96" s="25"/>
      <c r="NK96" s="25"/>
      <c r="NL96" s="25"/>
      <c r="NM96" s="25"/>
      <c r="NN96" s="25"/>
      <c r="NO96" s="25"/>
      <c r="NP96" s="25"/>
      <c r="NQ96" s="25"/>
      <c r="NR96" s="25"/>
      <c r="NS96" s="25"/>
      <c r="NT96" s="25"/>
      <c r="NU96" s="25"/>
      <c r="NV96" s="25"/>
      <c r="NW96" s="25"/>
      <c r="NX96" s="25"/>
      <c r="NY96" s="25"/>
      <c r="NZ96" s="25"/>
      <c r="OA96" s="25"/>
      <c r="OB96" s="25"/>
      <c r="OC96" s="25"/>
      <c r="OD96" s="25"/>
      <c r="OE96" s="25"/>
      <c r="OF96" s="25"/>
      <c r="OG96" s="25"/>
      <c r="OH96" s="25"/>
      <c r="OI96" s="25"/>
      <c r="OJ96" s="25"/>
      <c r="OK96" s="25"/>
      <c r="OL96" s="25"/>
      <c r="OM96" s="25"/>
      <c r="ON96" s="25"/>
      <c r="OO96" s="25"/>
      <c r="OP96" s="25"/>
      <c r="OQ96" s="25"/>
      <c r="OR96" s="25"/>
      <c r="OS96" s="25"/>
      <c r="OT96" s="25"/>
      <c r="OU96" s="25"/>
      <c r="OV96" s="25"/>
      <c r="OW96" s="25"/>
      <c r="OX96" s="25"/>
      <c r="OY96" s="25"/>
      <c r="OZ96" s="25"/>
      <c r="PA96" s="25"/>
      <c r="PB96" s="25"/>
      <c r="PC96" s="25"/>
      <c r="PD96" s="25"/>
      <c r="PE96" s="25"/>
      <c r="PF96" s="25"/>
      <c r="PG96" s="25"/>
      <c r="PH96" s="25"/>
      <c r="PI96" s="25"/>
      <c r="PJ96" s="25"/>
      <c r="PK96" s="25"/>
      <c r="PL96" s="25"/>
      <c r="PM96" s="25"/>
      <c r="PN96" s="25"/>
      <c r="PO96" s="25"/>
      <c r="PP96" s="25"/>
      <c r="PQ96" s="25"/>
      <c r="PR96" s="25"/>
      <c r="PS96" s="25"/>
      <c r="PT96" s="25"/>
      <c r="PU96" s="25"/>
      <c r="PV96" s="25"/>
      <c r="PW96" s="25"/>
      <c r="PX96" s="25"/>
      <c r="PY96" s="25"/>
      <c r="PZ96" s="25"/>
      <c r="QA96" s="25"/>
      <c r="QB96" s="25"/>
      <c r="QC96" s="25"/>
      <c r="QD96" s="25"/>
      <c r="QE96" s="25"/>
      <c r="QF96" s="25"/>
      <c r="QG96" s="25"/>
      <c r="QH96" s="25"/>
      <c r="QI96" s="25"/>
      <c r="QJ96" s="25"/>
      <c r="QK96" s="25"/>
      <c r="QL96" s="25"/>
      <c r="QM96" s="25"/>
      <c r="QN96" s="25"/>
      <c r="QO96" s="25"/>
      <c r="QP96" s="25"/>
      <c r="QQ96" s="25"/>
      <c r="QR96" s="25"/>
      <c r="QS96" s="25"/>
      <c r="QT96" s="25"/>
      <c r="QU96" s="25"/>
      <c r="QV96" s="25"/>
      <c r="QW96" s="25"/>
      <c r="QX96" s="25"/>
      <c r="QY96" s="25"/>
      <c r="QZ96" s="25"/>
      <c r="RA96" s="25"/>
      <c r="RB96" s="25"/>
      <c r="RC96" s="25"/>
      <c r="RD96" s="25"/>
      <c r="RE96" s="25"/>
      <c r="RF96" s="25"/>
      <c r="RG96" s="25"/>
      <c r="RH96" s="25"/>
      <c r="RI96" s="25"/>
      <c r="RJ96" s="25"/>
      <c r="RK96" s="25"/>
      <c r="RL96" s="25"/>
      <c r="RM96" s="25"/>
      <c r="RN96" s="25"/>
      <c r="RO96" s="25"/>
      <c r="RP96" s="25"/>
      <c r="RQ96" s="25"/>
      <c r="RR96" s="25"/>
      <c r="RS96" s="25"/>
      <c r="RT96" s="25"/>
      <c r="RU96" s="25"/>
      <c r="RV96" s="25"/>
      <c r="RW96" s="25"/>
      <c r="RX96" s="26"/>
    </row>
    <row r="97" spans="1:492" ht="14.4" collapsed="1">
      <c r="A97" s="13" t="s">
        <v>58</v>
      </c>
      <c r="B97" s="14" t="s">
        <v>22</v>
      </c>
      <c r="C97" s="33">
        <f>COUNTA(I98:I113)/COUNTA(F98:F113)</f>
        <v>0</v>
      </c>
      <c r="D97" s="15"/>
      <c r="E97" s="16">
        <f>E98</f>
        <v>46244</v>
      </c>
      <c r="F97" s="16">
        <f>F116</f>
        <v>46378</v>
      </c>
      <c r="G97" s="35">
        <f>F97-E97</f>
        <v>134</v>
      </c>
      <c r="H97" s="16"/>
      <c r="I97" s="16"/>
      <c r="J97" s="14"/>
      <c r="K97" s="14" t="s">
        <v>44</v>
      </c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8"/>
    </row>
    <row r="98" spans="1:492" ht="14.4" hidden="1" outlineLevel="1">
      <c r="A98" s="19"/>
      <c r="D98" s="5" t="s">
        <v>45</v>
      </c>
      <c r="E98" s="4">
        <v>46244</v>
      </c>
      <c r="F98" s="4">
        <v>46247</v>
      </c>
      <c r="G98" s="2">
        <f t="shared" ref="G98" si="12">NETWORKDAYS(E98, F98)</f>
        <v>4</v>
      </c>
      <c r="RX98" s="20"/>
    </row>
    <row r="99" spans="1:492" ht="14.4" hidden="1" outlineLevel="1">
      <c r="A99" s="19"/>
      <c r="D99" s="5" t="s">
        <v>46</v>
      </c>
      <c r="E99" s="4">
        <f>F98</f>
        <v>46247</v>
      </c>
      <c r="F99" s="4">
        <f>WORKDAY(E99,(G99-1))</f>
        <v>46247</v>
      </c>
      <c r="G99" s="2">
        <v>1</v>
      </c>
      <c r="RX99" s="20"/>
    </row>
    <row r="100" spans="1:492" ht="14.4" hidden="1" outlineLevel="1">
      <c r="A100" s="19"/>
      <c r="D100" s="5" t="s">
        <v>47</v>
      </c>
      <c r="E100" s="4">
        <f>F99</f>
        <v>46247</v>
      </c>
      <c r="F100" s="4">
        <f>WORKDAY(E100,(G100-1))</f>
        <v>46253</v>
      </c>
      <c r="G100" s="2">
        <v>5</v>
      </c>
      <c r="RX100" s="20"/>
    </row>
    <row r="101" spans="1:492" ht="14.4" hidden="1" outlineLevel="1">
      <c r="A101" s="19"/>
      <c r="D101" s="5" t="s">
        <v>48</v>
      </c>
      <c r="E101" s="4">
        <f>F100</f>
        <v>46253</v>
      </c>
      <c r="F101" s="4">
        <f>WORKDAY(E101,(G101-1))</f>
        <v>46253</v>
      </c>
      <c r="G101" s="2">
        <v>1</v>
      </c>
      <c r="RX101" s="20"/>
    </row>
    <row r="102" spans="1:492" ht="14.4" hidden="1" outlineLevel="1">
      <c r="A102" s="19"/>
      <c r="D102" s="5" t="s">
        <v>49</v>
      </c>
      <c r="E102" s="4">
        <v>46267</v>
      </c>
      <c r="F102" s="4">
        <f>WORKDAY(E102,(G102-1))</f>
        <v>46267</v>
      </c>
      <c r="G102" s="2">
        <v>1</v>
      </c>
      <c r="RX102" s="20"/>
    </row>
    <row r="103" spans="1:492" ht="14.4" hidden="1" outlineLevel="1">
      <c r="A103" s="19"/>
      <c r="D103" s="5" t="s">
        <v>50</v>
      </c>
      <c r="E103" s="4">
        <f>F102</f>
        <v>46267</v>
      </c>
      <c r="F103" s="4">
        <f>WORKDAY(E103,(G103-1))</f>
        <v>46328</v>
      </c>
      <c r="G103" s="2">
        <f>35+G104</f>
        <v>44</v>
      </c>
      <c r="RX103" s="20"/>
    </row>
    <row r="104" spans="1:492" ht="14.4" hidden="1" outlineLevel="1">
      <c r="A104" s="19"/>
      <c r="D104" s="36" t="s">
        <v>59</v>
      </c>
      <c r="E104" s="37">
        <v>46290</v>
      </c>
      <c r="F104" s="37">
        <v>46302</v>
      </c>
      <c r="G104" s="34">
        <f t="shared" ref="G104" si="13">NETWORKDAYS(E104, F104)</f>
        <v>9</v>
      </c>
      <c r="RX104" s="20"/>
    </row>
    <row r="105" spans="1:492" ht="14.4" hidden="1" outlineLevel="1">
      <c r="A105" s="19"/>
      <c r="D105" s="5" t="s">
        <v>60</v>
      </c>
      <c r="E105" s="4">
        <f>F103</f>
        <v>46328</v>
      </c>
      <c r="F105" s="4">
        <f t="shared" ref="F105:F116" si="14">WORKDAY(E105,(G105-1))</f>
        <v>46332</v>
      </c>
      <c r="G105" s="2">
        <v>5</v>
      </c>
      <c r="RX105" s="20"/>
    </row>
    <row r="106" spans="1:492" ht="14.4" hidden="1" outlineLevel="1">
      <c r="A106" s="19"/>
      <c r="D106" s="5" t="s">
        <v>52</v>
      </c>
      <c r="E106" s="4">
        <v>46344</v>
      </c>
      <c r="F106" s="4">
        <f t="shared" si="14"/>
        <v>46344</v>
      </c>
      <c r="G106" s="2">
        <v>1</v>
      </c>
      <c r="RX106" s="20"/>
    </row>
    <row r="107" spans="1:492" ht="14.4" hidden="1" outlineLevel="1">
      <c r="A107" s="19"/>
      <c r="D107" s="5" t="s">
        <v>29</v>
      </c>
      <c r="E107" s="4">
        <v>46349</v>
      </c>
      <c r="F107" s="4">
        <f t="shared" si="14"/>
        <v>46349</v>
      </c>
      <c r="G107" s="2">
        <v>1</v>
      </c>
      <c r="RX107" s="20"/>
    </row>
    <row r="108" spans="1:492" ht="14.4" hidden="1" outlineLevel="1">
      <c r="A108" s="19"/>
      <c r="D108" s="5" t="s">
        <v>30</v>
      </c>
      <c r="E108" s="4">
        <f>WORKDAY(F107,3)-1</f>
        <v>46351</v>
      </c>
      <c r="F108" s="4">
        <f t="shared" si="14"/>
        <v>46351</v>
      </c>
      <c r="G108" s="2">
        <v>1</v>
      </c>
      <c r="RX108" s="20"/>
    </row>
    <row r="109" spans="1:492" ht="14.4" hidden="1" outlineLevel="1">
      <c r="A109" s="19"/>
      <c r="D109" s="5" t="s">
        <v>53</v>
      </c>
      <c r="E109" s="4">
        <v>46356</v>
      </c>
      <c r="F109" s="4">
        <f t="shared" si="14"/>
        <v>46356</v>
      </c>
      <c r="G109" s="2">
        <v>1</v>
      </c>
      <c r="RX109" s="20"/>
    </row>
    <row r="110" spans="1:492" ht="14.4" hidden="1" outlineLevel="1">
      <c r="A110" s="19"/>
      <c r="D110" s="5" t="s">
        <v>54</v>
      </c>
      <c r="E110" s="4">
        <f>F109</f>
        <v>46356</v>
      </c>
      <c r="F110" s="4">
        <f t="shared" si="14"/>
        <v>46365</v>
      </c>
      <c r="G110" s="2">
        <v>8</v>
      </c>
      <c r="RX110" s="20"/>
    </row>
    <row r="111" spans="1:492" ht="14.4" hidden="1" outlineLevel="1">
      <c r="A111" s="19"/>
      <c r="D111" s="5" t="s">
        <v>34</v>
      </c>
      <c r="E111" s="4">
        <f>F110</f>
        <v>46365</v>
      </c>
      <c r="F111" s="4">
        <f t="shared" si="14"/>
        <v>46365</v>
      </c>
      <c r="G111" s="2">
        <v>1</v>
      </c>
      <c r="RX111" s="20"/>
    </row>
    <row r="112" spans="1:492" ht="14.4" hidden="1" outlineLevel="1">
      <c r="A112" s="19"/>
      <c r="D112" s="5" t="s">
        <v>35</v>
      </c>
      <c r="E112" s="4">
        <f>F111</f>
        <v>46365</v>
      </c>
      <c r="F112" s="4">
        <f t="shared" si="14"/>
        <v>46370</v>
      </c>
      <c r="G112" s="2">
        <v>4</v>
      </c>
      <c r="RX112" s="20"/>
    </row>
    <row r="113" spans="1:492" ht="14.4" hidden="1" outlineLevel="1">
      <c r="A113" s="19"/>
      <c r="D113" s="5" t="s">
        <v>36</v>
      </c>
      <c r="E113" s="4">
        <f>F112</f>
        <v>46370</v>
      </c>
      <c r="F113" s="4">
        <f t="shared" si="14"/>
        <v>46370</v>
      </c>
      <c r="G113" s="2">
        <v>1</v>
      </c>
      <c r="RX113" s="20"/>
    </row>
    <row r="114" spans="1:492" ht="14.4" hidden="1" outlineLevel="1">
      <c r="A114" s="19"/>
      <c r="D114" s="5" t="s">
        <v>37</v>
      </c>
      <c r="E114" s="4">
        <f>WORKDAY(F113,2)-1</f>
        <v>46371</v>
      </c>
      <c r="F114" s="4">
        <f t="shared" si="14"/>
        <v>46371</v>
      </c>
      <c r="G114" s="2">
        <v>1</v>
      </c>
      <c r="RX114" s="20"/>
    </row>
    <row r="115" spans="1:492" ht="14.4" hidden="1" outlineLevel="1">
      <c r="A115" s="19"/>
      <c r="D115" s="5" t="s">
        <v>38</v>
      </c>
      <c r="E115" s="4">
        <f>WORKDAY(F114,2)-1</f>
        <v>46372</v>
      </c>
      <c r="F115" s="4">
        <f t="shared" si="14"/>
        <v>46373</v>
      </c>
      <c r="G115" s="2">
        <v>2</v>
      </c>
      <c r="RX115" s="20"/>
    </row>
    <row r="116" spans="1:492" ht="14.4" hidden="1" outlineLevel="1">
      <c r="A116" s="19"/>
      <c r="D116" s="5" t="s">
        <v>41</v>
      </c>
      <c r="E116" s="4">
        <f>WORKDAY(F115,3)-1</f>
        <v>46377</v>
      </c>
      <c r="F116" s="4">
        <f t="shared" si="14"/>
        <v>46378</v>
      </c>
      <c r="G116" s="2">
        <v>2</v>
      </c>
      <c r="RX116" s="20"/>
    </row>
    <row r="117" spans="1:492" ht="14.4" hidden="1" outlineLevel="1">
      <c r="A117" s="19"/>
      <c r="RX117" s="20"/>
    </row>
    <row r="118" spans="1:492" ht="14.4" hidden="1" outlineLevel="1">
      <c r="A118" s="21"/>
      <c r="B118" s="22"/>
      <c r="C118" s="22"/>
      <c r="D118" s="23"/>
      <c r="E118" s="24"/>
      <c r="F118" s="24"/>
      <c r="G118" s="22"/>
      <c r="H118" s="24"/>
      <c r="I118" s="24"/>
      <c r="J118" s="22"/>
      <c r="K118" s="22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  <c r="DA118" s="25"/>
      <c r="DB118" s="25"/>
      <c r="DC118" s="25"/>
      <c r="DD118" s="25"/>
      <c r="DE118" s="25"/>
      <c r="DF118" s="25"/>
      <c r="DG118" s="25"/>
      <c r="DH118" s="25"/>
      <c r="DI118" s="25"/>
      <c r="DJ118" s="25"/>
      <c r="DK118" s="25"/>
      <c r="DL118" s="25"/>
      <c r="DM118" s="25"/>
      <c r="DN118" s="25"/>
      <c r="DO118" s="25"/>
      <c r="DP118" s="25"/>
      <c r="DQ118" s="25"/>
      <c r="DR118" s="25"/>
      <c r="DS118" s="25"/>
      <c r="DT118" s="25"/>
      <c r="DU118" s="25"/>
      <c r="DV118" s="25"/>
      <c r="DW118" s="25"/>
      <c r="DX118" s="25"/>
      <c r="DY118" s="25"/>
      <c r="DZ118" s="25"/>
      <c r="EA118" s="25"/>
      <c r="EB118" s="25"/>
      <c r="EC118" s="25"/>
      <c r="ED118" s="25"/>
      <c r="EE118" s="25"/>
      <c r="EF118" s="25"/>
      <c r="EG118" s="25"/>
      <c r="EH118" s="25"/>
      <c r="EI118" s="25"/>
      <c r="EJ118" s="25"/>
      <c r="EK118" s="25"/>
      <c r="EL118" s="25"/>
      <c r="EM118" s="25"/>
      <c r="EN118" s="25"/>
      <c r="EO118" s="25"/>
      <c r="EP118" s="25"/>
      <c r="EQ118" s="25"/>
      <c r="ER118" s="25"/>
      <c r="ES118" s="25"/>
      <c r="ET118" s="25"/>
      <c r="EU118" s="25"/>
      <c r="EV118" s="25"/>
      <c r="EW118" s="25"/>
      <c r="EX118" s="25"/>
      <c r="EY118" s="25"/>
      <c r="EZ118" s="25"/>
      <c r="FA118" s="25"/>
      <c r="FB118" s="25"/>
      <c r="FC118" s="25"/>
      <c r="FD118" s="25"/>
      <c r="FE118" s="25"/>
      <c r="FF118" s="25"/>
      <c r="FG118" s="25"/>
      <c r="FH118" s="25"/>
      <c r="FI118" s="25"/>
      <c r="FJ118" s="25"/>
      <c r="FK118" s="25"/>
      <c r="FL118" s="25"/>
      <c r="FM118" s="25"/>
      <c r="FN118" s="25"/>
      <c r="FO118" s="25"/>
      <c r="FP118" s="25"/>
      <c r="FQ118" s="25"/>
      <c r="FR118" s="25"/>
      <c r="FS118" s="25"/>
      <c r="FT118" s="25"/>
      <c r="FU118" s="25"/>
      <c r="FV118" s="25"/>
      <c r="FW118" s="25"/>
      <c r="FX118" s="25"/>
      <c r="FY118" s="25"/>
      <c r="FZ118" s="25"/>
      <c r="GA118" s="25"/>
      <c r="GB118" s="25"/>
      <c r="GC118" s="25"/>
      <c r="GD118" s="25"/>
      <c r="GE118" s="25"/>
      <c r="GF118" s="25"/>
      <c r="GG118" s="25"/>
      <c r="GH118" s="25"/>
      <c r="GI118" s="25"/>
      <c r="GJ118" s="25"/>
      <c r="GK118" s="25"/>
      <c r="GL118" s="25"/>
      <c r="GM118" s="25"/>
      <c r="GN118" s="25"/>
      <c r="GO118" s="25"/>
      <c r="GP118" s="25"/>
      <c r="GQ118" s="25"/>
      <c r="GR118" s="25"/>
      <c r="GS118" s="25"/>
      <c r="GT118" s="25"/>
      <c r="GU118" s="25"/>
      <c r="GV118" s="25"/>
      <c r="GW118" s="25"/>
      <c r="GX118" s="25"/>
      <c r="GY118" s="25"/>
      <c r="GZ118" s="25"/>
      <c r="HA118" s="25"/>
      <c r="HB118" s="25"/>
      <c r="HC118" s="25"/>
      <c r="HD118" s="25"/>
      <c r="HE118" s="25"/>
      <c r="HF118" s="25"/>
      <c r="HG118" s="25"/>
      <c r="HH118" s="25"/>
      <c r="HI118" s="25"/>
      <c r="HJ118" s="25"/>
      <c r="HK118" s="25"/>
      <c r="HL118" s="25"/>
      <c r="HM118" s="25"/>
      <c r="HN118" s="25"/>
      <c r="HO118" s="25"/>
      <c r="HP118" s="25"/>
      <c r="HQ118" s="25"/>
      <c r="HR118" s="25"/>
      <c r="HS118" s="25"/>
      <c r="HT118" s="25"/>
      <c r="HU118" s="25"/>
      <c r="HV118" s="25"/>
      <c r="HW118" s="25"/>
      <c r="HX118" s="25"/>
      <c r="HY118" s="25"/>
      <c r="HZ118" s="25"/>
      <c r="IA118" s="25"/>
      <c r="IB118" s="25"/>
      <c r="IC118" s="25"/>
      <c r="ID118" s="25"/>
      <c r="IE118" s="25"/>
      <c r="IF118" s="25"/>
      <c r="IG118" s="25"/>
      <c r="IH118" s="25"/>
      <c r="II118" s="25"/>
      <c r="IJ118" s="25"/>
      <c r="IK118" s="25"/>
      <c r="IL118" s="25"/>
      <c r="IM118" s="25"/>
      <c r="IN118" s="25"/>
      <c r="IO118" s="25"/>
      <c r="IP118" s="25"/>
      <c r="IQ118" s="25"/>
      <c r="IR118" s="25"/>
      <c r="IS118" s="25"/>
      <c r="IT118" s="25"/>
      <c r="IU118" s="25"/>
      <c r="IV118" s="25"/>
      <c r="IW118" s="25"/>
      <c r="IX118" s="25"/>
      <c r="IY118" s="25"/>
      <c r="IZ118" s="25"/>
      <c r="JA118" s="25"/>
      <c r="JB118" s="25"/>
      <c r="JC118" s="25"/>
      <c r="JD118" s="25"/>
      <c r="JE118" s="25"/>
      <c r="JF118" s="25"/>
      <c r="JG118" s="25"/>
      <c r="JH118" s="25"/>
      <c r="JI118" s="25"/>
      <c r="JJ118" s="25"/>
      <c r="JK118" s="25"/>
      <c r="JL118" s="25"/>
      <c r="JM118" s="25"/>
      <c r="JN118" s="25"/>
      <c r="JO118" s="25"/>
      <c r="JP118" s="25"/>
      <c r="JQ118" s="25"/>
      <c r="JR118" s="25"/>
      <c r="JS118" s="25"/>
      <c r="JT118" s="25"/>
      <c r="JU118" s="25"/>
      <c r="JV118" s="25"/>
      <c r="JW118" s="25"/>
      <c r="JX118" s="25"/>
      <c r="JY118" s="25"/>
      <c r="JZ118" s="25"/>
      <c r="KA118" s="25"/>
      <c r="KB118" s="25"/>
      <c r="KC118" s="25"/>
      <c r="KD118" s="25"/>
      <c r="KE118" s="25"/>
      <c r="KF118" s="25"/>
      <c r="KG118" s="25"/>
      <c r="KH118" s="25"/>
      <c r="KI118" s="25"/>
      <c r="KJ118" s="25"/>
      <c r="KK118" s="25"/>
      <c r="KL118" s="25"/>
      <c r="KM118" s="25"/>
      <c r="KN118" s="25"/>
      <c r="KO118" s="25"/>
      <c r="KP118" s="25"/>
      <c r="KQ118" s="25"/>
      <c r="KR118" s="25"/>
      <c r="KS118" s="25"/>
      <c r="KT118" s="25"/>
      <c r="KU118" s="25"/>
      <c r="KV118" s="25"/>
      <c r="KW118" s="25"/>
      <c r="KX118" s="25"/>
      <c r="KY118" s="25"/>
      <c r="KZ118" s="25"/>
      <c r="LA118" s="25"/>
      <c r="LB118" s="25"/>
      <c r="LC118" s="25"/>
      <c r="LD118" s="25"/>
      <c r="LE118" s="25"/>
      <c r="LF118" s="25"/>
      <c r="LG118" s="25"/>
      <c r="LH118" s="25"/>
      <c r="LI118" s="25"/>
      <c r="LJ118" s="25"/>
      <c r="LK118" s="25"/>
      <c r="LL118" s="25"/>
      <c r="LM118" s="25"/>
      <c r="LN118" s="25"/>
      <c r="LO118" s="25"/>
      <c r="LP118" s="25"/>
      <c r="LQ118" s="25"/>
      <c r="LR118" s="25"/>
      <c r="LS118" s="25"/>
      <c r="LT118" s="25"/>
      <c r="LU118" s="25"/>
      <c r="LV118" s="25"/>
      <c r="LW118" s="25"/>
      <c r="LX118" s="25"/>
      <c r="LY118" s="25"/>
      <c r="LZ118" s="25"/>
      <c r="MA118" s="25"/>
      <c r="MB118" s="25"/>
      <c r="MC118" s="25"/>
      <c r="MD118" s="25"/>
      <c r="ME118" s="25"/>
      <c r="MF118" s="25"/>
      <c r="MG118" s="25"/>
      <c r="MH118" s="25"/>
      <c r="MI118" s="25"/>
      <c r="MJ118" s="25"/>
      <c r="MK118" s="25"/>
      <c r="ML118" s="25"/>
      <c r="MM118" s="25"/>
      <c r="MN118" s="25"/>
      <c r="MO118" s="25"/>
      <c r="MP118" s="25"/>
      <c r="MQ118" s="25"/>
      <c r="MR118" s="25"/>
      <c r="MS118" s="25"/>
      <c r="MT118" s="25"/>
      <c r="MU118" s="25"/>
      <c r="MV118" s="25"/>
      <c r="MW118" s="25"/>
      <c r="MX118" s="25"/>
      <c r="MY118" s="25"/>
      <c r="MZ118" s="25"/>
      <c r="NA118" s="25"/>
      <c r="NB118" s="25"/>
      <c r="NC118" s="25"/>
      <c r="ND118" s="25"/>
      <c r="NE118" s="25"/>
      <c r="NF118" s="25"/>
      <c r="NG118" s="25"/>
      <c r="NH118" s="25"/>
      <c r="NI118" s="25"/>
      <c r="NJ118" s="25"/>
      <c r="NK118" s="25"/>
      <c r="NL118" s="25"/>
      <c r="NM118" s="25"/>
      <c r="NN118" s="25"/>
      <c r="NO118" s="25"/>
      <c r="NP118" s="25"/>
      <c r="NQ118" s="25"/>
      <c r="NR118" s="25"/>
      <c r="NS118" s="25"/>
      <c r="NT118" s="25"/>
      <c r="NU118" s="25"/>
      <c r="NV118" s="25"/>
      <c r="NW118" s="25"/>
      <c r="NX118" s="25"/>
      <c r="NY118" s="25"/>
      <c r="NZ118" s="25"/>
      <c r="OA118" s="25"/>
      <c r="OB118" s="25"/>
      <c r="OC118" s="25"/>
      <c r="OD118" s="25"/>
      <c r="OE118" s="25"/>
      <c r="OF118" s="25"/>
      <c r="OG118" s="25"/>
      <c r="OH118" s="25"/>
      <c r="OI118" s="25"/>
      <c r="OJ118" s="25"/>
      <c r="OK118" s="25"/>
      <c r="OL118" s="25"/>
      <c r="OM118" s="25"/>
      <c r="ON118" s="25"/>
      <c r="OO118" s="25"/>
      <c r="OP118" s="25"/>
      <c r="OQ118" s="25"/>
      <c r="OR118" s="25"/>
      <c r="OS118" s="25"/>
      <c r="OT118" s="25"/>
      <c r="OU118" s="25"/>
      <c r="OV118" s="25"/>
      <c r="OW118" s="25"/>
      <c r="OX118" s="25"/>
      <c r="OY118" s="25"/>
      <c r="OZ118" s="25"/>
      <c r="PA118" s="25"/>
      <c r="PB118" s="25"/>
      <c r="PC118" s="25"/>
      <c r="PD118" s="25"/>
      <c r="PE118" s="25"/>
      <c r="PF118" s="25"/>
      <c r="PG118" s="25"/>
      <c r="PH118" s="25"/>
      <c r="PI118" s="25"/>
      <c r="PJ118" s="25"/>
      <c r="PK118" s="25"/>
      <c r="PL118" s="25"/>
      <c r="PM118" s="25"/>
      <c r="PN118" s="25"/>
      <c r="PO118" s="25"/>
      <c r="PP118" s="25"/>
      <c r="PQ118" s="25"/>
      <c r="PR118" s="25"/>
      <c r="PS118" s="25"/>
      <c r="PT118" s="25"/>
      <c r="PU118" s="25"/>
      <c r="PV118" s="25"/>
      <c r="PW118" s="25"/>
      <c r="PX118" s="25"/>
      <c r="PY118" s="25"/>
      <c r="PZ118" s="25"/>
      <c r="QA118" s="25"/>
      <c r="QB118" s="25"/>
      <c r="QC118" s="25"/>
      <c r="QD118" s="25"/>
      <c r="QE118" s="25"/>
      <c r="QF118" s="25"/>
      <c r="QG118" s="25"/>
      <c r="QH118" s="25"/>
      <c r="QI118" s="25"/>
      <c r="QJ118" s="25"/>
      <c r="QK118" s="25"/>
      <c r="QL118" s="25"/>
      <c r="QM118" s="25"/>
      <c r="QN118" s="25"/>
      <c r="QO118" s="25"/>
      <c r="QP118" s="25"/>
      <c r="QQ118" s="25"/>
      <c r="QR118" s="25"/>
      <c r="QS118" s="25"/>
      <c r="QT118" s="25"/>
      <c r="QU118" s="25"/>
      <c r="QV118" s="25"/>
      <c r="QW118" s="25"/>
      <c r="QX118" s="25"/>
      <c r="QY118" s="25"/>
      <c r="QZ118" s="25"/>
      <c r="RA118" s="25"/>
      <c r="RB118" s="25"/>
      <c r="RC118" s="25"/>
      <c r="RD118" s="25"/>
      <c r="RE118" s="25"/>
      <c r="RF118" s="25"/>
      <c r="RG118" s="25"/>
      <c r="RH118" s="25"/>
      <c r="RI118" s="25"/>
      <c r="RJ118" s="25"/>
      <c r="RK118" s="25"/>
      <c r="RL118" s="25"/>
      <c r="RM118" s="25"/>
      <c r="RN118" s="25"/>
      <c r="RO118" s="25"/>
      <c r="RP118" s="25"/>
      <c r="RQ118" s="25"/>
      <c r="RR118" s="25"/>
      <c r="RS118" s="25"/>
      <c r="RT118" s="25"/>
      <c r="RU118" s="25"/>
      <c r="RV118" s="25"/>
      <c r="RW118" s="25"/>
      <c r="RX118" s="26"/>
    </row>
    <row r="119" spans="1:492" ht="14.4" collapsed="1">
      <c r="A119" s="13" t="s">
        <v>61</v>
      </c>
      <c r="B119" s="14" t="s">
        <v>62</v>
      </c>
      <c r="C119" s="33">
        <f>COUNTA(I120:I140)/COUNTA(F120:F140)</f>
        <v>0.95</v>
      </c>
      <c r="D119" s="15" t="s">
        <v>23</v>
      </c>
      <c r="E119" s="16">
        <f>E120</f>
        <v>46258</v>
      </c>
      <c r="F119" s="16">
        <f>F131</f>
        <v>46357</v>
      </c>
      <c r="G119" s="35">
        <f>F119-E119</f>
        <v>99</v>
      </c>
      <c r="H119" s="16">
        <f>H120</f>
        <v>46258</v>
      </c>
      <c r="I119" s="16">
        <f>I131</f>
        <v>0</v>
      </c>
      <c r="J119" s="35">
        <f>I119-H119</f>
        <v>-46258</v>
      </c>
      <c r="K119" s="14" t="s">
        <v>1</v>
      </c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  <c r="EW119" s="17"/>
      <c r="EX119" s="17"/>
      <c r="EY119" s="17"/>
      <c r="EZ119" s="17"/>
      <c r="FA119" s="17"/>
      <c r="FB119" s="17"/>
      <c r="FC119" s="17"/>
      <c r="FD119" s="17"/>
      <c r="FE119" s="17"/>
      <c r="FF119" s="17"/>
      <c r="FG119" s="17"/>
      <c r="FH119" s="17"/>
      <c r="FI119" s="17"/>
      <c r="FJ119" s="17"/>
      <c r="FK119" s="17"/>
      <c r="FL119" s="17"/>
      <c r="FM119" s="17"/>
      <c r="FN119" s="17"/>
      <c r="FO119" s="17"/>
      <c r="FP119" s="17"/>
      <c r="FQ119" s="17"/>
      <c r="FR119" s="17"/>
      <c r="FS119" s="17"/>
      <c r="FT119" s="17"/>
      <c r="FU119" s="17"/>
      <c r="FV119" s="17"/>
      <c r="FW119" s="17"/>
      <c r="FX119" s="17"/>
      <c r="FY119" s="17"/>
      <c r="FZ119" s="17"/>
      <c r="GA119" s="17"/>
      <c r="GB119" s="17"/>
      <c r="GC119" s="17"/>
      <c r="GD119" s="17"/>
      <c r="GE119" s="17"/>
      <c r="GF119" s="17"/>
      <c r="GG119" s="17"/>
      <c r="GH119" s="17"/>
      <c r="GI119" s="17"/>
      <c r="GJ119" s="17"/>
      <c r="GK119" s="17"/>
      <c r="GL119" s="17"/>
      <c r="GM119" s="17"/>
      <c r="GN119" s="17"/>
      <c r="GO119" s="17"/>
      <c r="GP119" s="17"/>
      <c r="GQ119" s="17"/>
      <c r="GR119" s="17"/>
      <c r="GS119" s="17"/>
      <c r="GT119" s="17"/>
      <c r="GU119" s="17"/>
      <c r="GV119" s="17"/>
      <c r="GW119" s="17"/>
      <c r="GX119" s="17"/>
      <c r="GY119" s="17"/>
      <c r="GZ119" s="17"/>
      <c r="HA119" s="17"/>
      <c r="HB119" s="17"/>
      <c r="HC119" s="17"/>
      <c r="HD119" s="17"/>
      <c r="HE119" s="17"/>
      <c r="HF119" s="17"/>
      <c r="HG119" s="17"/>
      <c r="HH119" s="17"/>
      <c r="HI119" s="17"/>
      <c r="HJ119" s="17"/>
      <c r="HK119" s="17"/>
      <c r="HL119" s="17"/>
      <c r="HM119" s="17"/>
      <c r="HN119" s="17"/>
      <c r="HO119" s="17"/>
      <c r="HP119" s="17"/>
      <c r="HQ119" s="17"/>
      <c r="HR119" s="17"/>
      <c r="HS119" s="17"/>
      <c r="HT119" s="17"/>
      <c r="HU119" s="17"/>
      <c r="HV119" s="17"/>
      <c r="HW119" s="17"/>
      <c r="HX119" s="17"/>
      <c r="HY119" s="17"/>
      <c r="HZ119" s="17"/>
      <c r="IA119" s="17"/>
      <c r="IB119" s="17"/>
      <c r="IC119" s="17"/>
      <c r="ID119" s="17"/>
      <c r="IE119" s="17"/>
      <c r="IF119" s="17"/>
      <c r="IG119" s="17"/>
      <c r="IH119" s="17"/>
      <c r="II119" s="17"/>
      <c r="IJ119" s="17"/>
      <c r="IK119" s="17"/>
      <c r="IL119" s="17"/>
      <c r="IM119" s="17"/>
      <c r="IN119" s="17"/>
      <c r="IO119" s="17"/>
      <c r="IP119" s="17"/>
      <c r="IQ119" s="17"/>
      <c r="IR119" s="17"/>
      <c r="IS119" s="17"/>
      <c r="IT119" s="17"/>
      <c r="IU119" s="17"/>
      <c r="IV119" s="17"/>
      <c r="IW119" s="17"/>
      <c r="IX119" s="17"/>
      <c r="IY119" s="17"/>
      <c r="IZ119" s="17"/>
      <c r="JA119" s="17"/>
      <c r="JB119" s="17"/>
      <c r="JC119" s="17"/>
      <c r="JD119" s="17"/>
      <c r="JE119" s="17"/>
      <c r="JF119" s="17"/>
      <c r="JG119" s="17"/>
      <c r="JH119" s="17"/>
      <c r="JI119" s="17"/>
      <c r="JJ119" s="17"/>
      <c r="JK119" s="17"/>
      <c r="JL119" s="17"/>
      <c r="JM119" s="17"/>
      <c r="JN119" s="17"/>
      <c r="JO119" s="17"/>
      <c r="JP119" s="17"/>
      <c r="JQ119" s="17"/>
      <c r="JR119" s="17"/>
      <c r="JS119" s="17"/>
      <c r="JT119" s="17"/>
      <c r="JU119" s="17"/>
      <c r="JV119" s="17"/>
      <c r="JW119" s="17"/>
      <c r="JX119" s="17"/>
      <c r="JY119" s="17"/>
      <c r="JZ119" s="17"/>
      <c r="KA119" s="17"/>
      <c r="KB119" s="17"/>
      <c r="KC119" s="17"/>
      <c r="KD119" s="17"/>
      <c r="KE119" s="17"/>
      <c r="KF119" s="17"/>
      <c r="KG119" s="17"/>
      <c r="KH119" s="17"/>
      <c r="KI119" s="17"/>
      <c r="KJ119" s="17"/>
      <c r="KK119" s="17"/>
      <c r="KL119" s="17"/>
      <c r="KM119" s="17"/>
      <c r="KN119" s="17"/>
      <c r="KO119" s="17"/>
      <c r="KP119" s="17"/>
      <c r="KQ119" s="17"/>
      <c r="KR119" s="17"/>
      <c r="KS119" s="17"/>
      <c r="KT119" s="17"/>
      <c r="KU119" s="17"/>
      <c r="KV119" s="17"/>
      <c r="KW119" s="17"/>
      <c r="KX119" s="17"/>
      <c r="KY119" s="17"/>
      <c r="KZ119" s="17"/>
      <c r="LA119" s="17"/>
      <c r="LB119" s="17"/>
      <c r="LC119" s="17"/>
      <c r="LD119" s="17"/>
      <c r="LE119" s="17"/>
      <c r="LF119" s="17"/>
      <c r="LG119" s="17"/>
      <c r="LH119" s="17"/>
      <c r="LI119" s="17"/>
      <c r="LJ119" s="17"/>
      <c r="LK119" s="17"/>
      <c r="LL119" s="17"/>
      <c r="LM119" s="17"/>
      <c r="LN119" s="17"/>
      <c r="LO119" s="17"/>
      <c r="LP119" s="17"/>
      <c r="LQ119" s="17"/>
      <c r="LR119" s="17"/>
      <c r="LS119" s="17"/>
      <c r="LT119" s="17"/>
      <c r="LU119" s="17"/>
      <c r="LV119" s="17"/>
      <c r="LW119" s="17"/>
      <c r="LX119" s="17"/>
      <c r="LY119" s="17"/>
      <c r="LZ119" s="17"/>
      <c r="MA119" s="17"/>
      <c r="MB119" s="17"/>
      <c r="MC119" s="17"/>
      <c r="MD119" s="17"/>
      <c r="ME119" s="17"/>
      <c r="MF119" s="17"/>
      <c r="MG119" s="17"/>
      <c r="MH119" s="17"/>
      <c r="MI119" s="17"/>
      <c r="MJ119" s="17"/>
      <c r="MK119" s="17"/>
      <c r="ML119" s="17"/>
      <c r="MM119" s="17"/>
      <c r="MN119" s="17"/>
      <c r="MO119" s="17"/>
      <c r="MP119" s="17"/>
      <c r="MQ119" s="17"/>
      <c r="MR119" s="17"/>
      <c r="MS119" s="17"/>
      <c r="MT119" s="17"/>
      <c r="MU119" s="17"/>
      <c r="MV119" s="17"/>
      <c r="MW119" s="17"/>
      <c r="MX119" s="17"/>
      <c r="MY119" s="17"/>
      <c r="MZ119" s="17"/>
      <c r="NA119" s="17"/>
      <c r="NB119" s="17"/>
      <c r="NC119" s="17"/>
      <c r="ND119" s="17"/>
      <c r="NE119" s="17"/>
      <c r="NF119" s="17"/>
      <c r="NG119" s="17"/>
      <c r="NH119" s="17"/>
      <c r="NI119" s="17"/>
      <c r="NJ119" s="17"/>
      <c r="NK119" s="17"/>
      <c r="NL119" s="17"/>
      <c r="NM119" s="17"/>
      <c r="NN119" s="17"/>
      <c r="NO119" s="17"/>
      <c r="NP119" s="17"/>
      <c r="NQ119" s="17"/>
      <c r="NR119" s="17"/>
      <c r="NS119" s="17"/>
      <c r="NT119" s="17"/>
      <c r="NU119" s="17"/>
      <c r="NV119" s="17"/>
      <c r="NW119" s="17"/>
      <c r="NX119" s="17"/>
      <c r="NY119" s="17"/>
      <c r="NZ119" s="17"/>
      <c r="OA119" s="17"/>
      <c r="OB119" s="17"/>
      <c r="OC119" s="17"/>
      <c r="OD119" s="17"/>
      <c r="OE119" s="17"/>
      <c r="OF119" s="17"/>
      <c r="OG119" s="17"/>
      <c r="OH119" s="17"/>
      <c r="OI119" s="17"/>
      <c r="OJ119" s="17"/>
      <c r="OK119" s="17"/>
      <c r="OL119" s="17"/>
      <c r="OM119" s="17"/>
      <c r="ON119" s="17"/>
      <c r="OO119" s="17"/>
      <c r="OP119" s="17"/>
      <c r="OQ119" s="17"/>
      <c r="OR119" s="17"/>
      <c r="OS119" s="17"/>
      <c r="OT119" s="17"/>
      <c r="OU119" s="17"/>
      <c r="OV119" s="17"/>
      <c r="OW119" s="17"/>
      <c r="OX119" s="17"/>
      <c r="OY119" s="17"/>
      <c r="OZ119" s="17"/>
      <c r="PA119" s="17"/>
      <c r="PB119" s="17"/>
      <c r="PC119" s="17"/>
      <c r="PD119" s="17"/>
      <c r="PE119" s="17"/>
      <c r="PF119" s="17"/>
      <c r="PG119" s="17"/>
      <c r="PH119" s="17"/>
      <c r="PI119" s="17"/>
      <c r="PJ119" s="17"/>
      <c r="PK119" s="17"/>
      <c r="PL119" s="17"/>
      <c r="PM119" s="17"/>
      <c r="PN119" s="17"/>
      <c r="PO119" s="17"/>
      <c r="PP119" s="17"/>
      <c r="PQ119" s="17"/>
      <c r="PR119" s="17"/>
      <c r="PS119" s="17"/>
      <c r="PT119" s="17"/>
      <c r="PU119" s="17"/>
      <c r="PV119" s="17"/>
      <c r="PW119" s="17"/>
      <c r="PX119" s="17"/>
      <c r="PY119" s="17"/>
      <c r="PZ119" s="17"/>
      <c r="QA119" s="17"/>
      <c r="QB119" s="17"/>
      <c r="QC119" s="17"/>
      <c r="QD119" s="17"/>
      <c r="QE119" s="17"/>
      <c r="QF119" s="17"/>
      <c r="QG119" s="17"/>
      <c r="QH119" s="17"/>
      <c r="QI119" s="17"/>
      <c r="QJ119" s="17"/>
      <c r="QK119" s="17"/>
      <c r="QL119" s="17"/>
      <c r="QM119" s="17"/>
      <c r="QN119" s="17"/>
      <c r="QO119" s="17"/>
      <c r="QP119" s="17"/>
      <c r="QQ119" s="17"/>
      <c r="QR119" s="17"/>
      <c r="QS119" s="17"/>
      <c r="QT119" s="17"/>
      <c r="QU119" s="17"/>
      <c r="QV119" s="17"/>
      <c r="QW119" s="17"/>
      <c r="QX119" s="17"/>
      <c r="QY119" s="17"/>
      <c r="QZ119" s="17"/>
      <c r="RA119" s="17"/>
      <c r="RB119" s="17"/>
      <c r="RC119" s="17"/>
      <c r="RD119" s="17"/>
      <c r="RE119" s="17"/>
      <c r="RF119" s="17"/>
      <c r="RG119" s="17"/>
      <c r="RH119" s="17"/>
      <c r="RI119" s="17"/>
      <c r="RJ119" s="17"/>
      <c r="RK119" s="17"/>
      <c r="RL119" s="17"/>
      <c r="RM119" s="17"/>
      <c r="RN119" s="17"/>
      <c r="RO119" s="17"/>
      <c r="RP119" s="17"/>
      <c r="RQ119" s="17"/>
      <c r="RR119" s="17"/>
      <c r="RS119" s="17"/>
      <c r="RT119" s="17"/>
      <c r="RU119" s="17"/>
      <c r="RV119" s="17"/>
      <c r="RW119" s="17"/>
      <c r="RX119" s="18"/>
    </row>
    <row r="120" spans="1:492" ht="14.4" outlineLevel="1">
      <c r="A120" s="19"/>
      <c r="D120" s="5" t="s">
        <v>63</v>
      </c>
      <c r="E120" s="4">
        <v>46258</v>
      </c>
      <c r="F120" s="4">
        <v>46258</v>
      </c>
      <c r="G120" s="2">
        <f t="shared" ref="G120:G121" si="15">NETWORKDAYS(E120, F120)</f>
        <v>1</v>
      </c>
      <c r="H120" s="4">
        <v>46258</v>
      </c>
      <c r="I120" s="4">
        <v>46258</v>
      </c>
      <c r="J120" s="2">
        <f t="shared" ref="J120:J126" si="16">NETWORKDAYS(H120, I120)</f>
        <v>1</v>
      </c>
      <c r="RX120" s="20"/>
    </row>
    <row r="121" spans="1:492" ht="14.4" outlineLevel="1">
      <c r="D121" s="5" t="s">
        <v>64</v>
      </c>
      <c r="E121" s="4">
        <v>46268</v>
      </c>
      <c r="F121" s="4">
        <v>46268</v>
      </c>
      <c r="G121" s="2">
        <f t="shared" si="15"/>
        <v>1</v>
      </c>
      <c r="H121" s="4">
        <v>46268</v>
      </c>
      <c r="I121" s="4">
        <v>46268</v>
      </c>
      <c r="J121" s="2">
        <f t="shared" si="16"/>
        <v>1</v>
      </c>
    </row>
    <row r="122" spans="1:492" ht="15" customHeight="1" outlineLevel="1">
      <c r="D122" s="5" t="s">
        <v>65</v>
      </c>
      <c r="E122" s="4">
        <v>46268</v>
      </c>
      <c r="F122" s="4">
        <v>46268</v>
      </c>
      <c r="G122" s="2">
        <f t="shared" ref="G122:G129" si="17">NETWORKDAYS(E122, F122)</f>
        <v>1</v>
      </c>
      <c r="H122" s="4">
        <v>46268</v>
      </c>
      <c r="I122" s="4">
        <v>46268</v>
      </c>
      <c r="J122" s="2">
        <f t="shared" si="16"/>
        <v>1</v>
      </c>
    </row>
    <row r="123" spans="1:492" ht="15" customHeight="1" outlineLevel="1">
      <c r="D123" s="5" t="s">
        <v>66</v>
      </c>
      <c r="E123" s="4">
        <v>46268</v>
      </c>
      <c r="F123" s="4">
        <v>46268</v>
      </c>
      <c r="G123" s="2">
        <f t="shared" si="17"/>
        <v>1</v>
      </c>
      <c r="H123" s="4">
        <v>46268</v>
      </c>
      <c r="I123" s="4">
        <v>46268</v>
      </c>
      <c r="J123" s="2">
        <f t="shared" si="16"/>
        <v>1</v>
      </c>
    </row>
    <row r="124" spans="1:492" ht="15" customHeight="1" outlineLevel="1">
      <c r="D124" s="5" t="s">
        <v>67</v>
      </c>
      <c r="E124" s="4">
        <v>46268</v>
      </c>
      <c r="F124" s="4">
        <v>46269</v>
      </c>
      <c r="G124" s="2">
        <f t="shared" si="17"/>
        <v>2</v>
      </c>
      <c r="H124" s="4">
        <v>46268</v>
      </c>
      <c r="I124" s="4">
        <v>46272</v>
      </c>
      <c r="J124" s="2">
        <f t="shared" si="16"/>
        <v>3</v>
      </c>
    </row>
    <row r="125" spans="1:492" ht="15" customHeight="1" outlineLevel="1">
      <c r="D125" s="5" t="s">
        <v>2</v>
      </c>
      <c r="E125" s="4">
        <v>46269</v>
      </c>
      <c r="F125" s="4">
        <v>46273</v>
      </c>
      <c r="G125" s="2">
        <f t="shared" si="17"/>
        <v>3</v>
      </c>
      <c r="H125" s="4">
        <v>46272</v>
      </c>
      <c r="I125" s="4">
        <v>46286</v>
      </c>
      <c r="J125" s="2">
        <f t="shared" si="16"/>
        <v>11</v>
      </c>
    </row>
    <row r="126" spans="1:492" ht="15" customHeight="1" outlineLevel="1">
      <c r="D126" s="5" t="s">
        <v>68</v>
      </c>
      <c r="E126" s="4">
        <v>46287</v>
      </c>
      <c r="F126" s="4">
        <f>E126</f>
        <v>46287</v>
      </c>
      <c r="G126" s="2">
        <f t="shared" si="17"/>
        <v>1</v>
      </c>
      <c r="H126" s="4">
        <v>46287</v>
      </c>
      <c r="I126" s="4">
        <v>46287</v>
      </c>
      <c r="J126" s="2">
        <f t="shared" si="16"/>
        <v>1</v>
      </c>
    </row>
    <row r="127" spans="1:492" ht="15" customHeight="1" outlineLevel="1">
      <c r="D127" s="5" t="s">
        <v>69</v>
      </c>
      <c r="E127" s="4">
        <f>F126</f>
        <v>46287</v>
      </c>
      <c r="F127" s="4">
        <f>E127</f>
        <v>46287</v>
      </c>
      <c r="G127" s="2">
        <f t="shared" si="17"/>
        <v>1</v>
      </c>
      <c r="H127" s="4">
        <v>46287</v>
      </c>
      <c r="I127" s="4">
        <v>46287</v>
      </c>
      <c r="J127" s="2">
        <f t="shared" ref="J127:J130" si="18">NETWORKDAYS(H127, I127)</f>
        <v>1</v>
      </c>
    </row>
    <row r="128" spans="1:492" ht="15" customHeight="1" outlineLevel="1">
      <c r="D128" s="5" t="s">
        <v>70</v>
      </c>
      <c r="E128" s="4">
        <f>E126</f>
        <v>46287</v>
      </c>
      <c r="F128" s="4">
        <v>46302</v>
      </c>
      <c r="G128" s="2">
        <f t="shared" si="17"/>
        <v>12</v>
      </c>
      <c r="H128" s="4">
        <v>46287</v>
      </c>
      <c r="I128" s="38">
        <v>46304</v>
      </c>
      <c r="J128" s="2">
        <f t="shared" si="18"/>
        <v>14</v>
      </c>
    </row>
    <row r="129" spans="1:492" ht="15" customHeight="1" outlineLevel="1">
      <c r="D129" s="5" t="s">
        <v>71</v>
      </c>
      <c r="E129" s="4">
        <f>E126</f>
        <v>46287</v>
      </c>
      <c r="F129" s="4">
        <v>46302</v>
      </c>
      <c r="G129" s="2">
        <f t="shared" si="17"/>
        <v>12</v>
      </c>
      <c r="H129" s="4">
        <v>46287</v>
      </c>
      <c r="I129" s="38">
        <v>46304</v>
      </c>
      <c r="J129" s="2">
        <f t="shared" si="18"/>
        <v>14</v>
      </c>
    </row>
    <row r="130" spans="1:492" ht="15" customHeight="1" outlineLevel="1">
      <c r="D130" s="5" t="s">
        <v>72</v>
      </c>
      <c r="E130" s="4">
        <v>46304</v>
      </c>
      <c r="F130" s="4">
        <v>46304</v>
      </c>
      <c r="G130" s="2">
        <f t="shared" ref="G130:G131" si="19">NETWORKDAYS(E130, F130)</f>
        <v>1</v>
      </c>
      <c r="H130" s="4">
        <v>46304</v>
      </c>
      <c r="I130" s="4">
        <v>46304</v>
      </c>
      <c r="J130" s="2">
        <f t="shared" si="18"/>
        <v>1</v>
      </c>
    </row>
    <row r="131" spans="1:492" ht="15" customHeight="1" outlineLevel="1">
      <c r="D131" s="5" t="s">
        <v>73</v>
      </c>
      <c r="E131" s="4">
        <v>46357</v>
      </c>
      <c r="F131" s="4">
        <v>46357</v>
      </c>
      <c r="G131" s="2">
        <f t="shared" si="19"/>
        <v>1</v>
      </c>
    </row>
    <row r="132" spans="1:492" ht="15" customHeight="1" outlineLevel="1"/>
    <row r="133" spans="1:492" ht="15" customHeight="1">
      <c r="A133" s="13" t="s">
        <v>3</v>
      </c>
      <c r="B133" s="14" t="s">
        <v>22</v>
      </c>
      <c r="C133" s="33">
        <f>COUNTA(I134:I149)/COUNTA(F134:F149)</f>
        <v>0.4375</v>
      </c>
      <c r="D133" s="15" t="s">
        <v>23</v>
      </c>
      <c r="E133" s="16">
        <f>E134</f>
        <v>46261</v>
      </c>
      <c r="F133" s="16">
        <f>F149</f>
        <v>46324</v>
      </c>
      <c r="G133" s="35">
        <f>F133-E133</f>
        <v>63</v>
      </c>
      <c r="H133" s="16">
        <f>H134</f>
        <v>46261</v>
      </c>
      <c r="I133" s="16">
        <f>I149</f>
        <v>0</v>
      </c>
      <c r="J133" s="35">
        <f>I133-H133</f>
        <v>-46261</v>
      </c>
      <c r="K133" s="14" t="s">
        <v>1</v>
      </c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  <c r="EW133" s="17"/>
      <c r="EX133" s="17"/>
      <c r="EY133" s="17"/>
      <c r="EZ133" s="17"/>
      <c r="FA133" s="17"/>
      <c r="FB133" s="17"/>
      <c r="FC133" s="17"/>
      <c r="FD133" s="17"/>
      <c r="FE133" s="17"/>
      <c r="FF133" s="17"/>
      <c r="FG133" s="17"/>
      <c r="FH133" s="17"/>
      <c r="FI133" s="17"/>
      <c r="FJ133" s="17"/>
      <c r="FK133" s="17"/>
      <c r="FL133" s="17"/>
      <c r="FM133" s="17"/>
      <c r="FN133" s="17"/>
      <c r="FO133" s="17"/>
      <c r="FP133" s="17"/>
      <c r="FQ133" s="17"/>
      <c r="FR133" s="17"/>
      <c r="FS133" s="17"/>
      <c r="FT133" s="17"/>
      <c r="FU133" s="17"/>
      <c r="FV133" s="17"/>
      <c r="FW133" s="17"/>
      <c r="FX133" s="17"/>
      <c r="FY133" s="17"/>
      <c r="FZ133" s="17"/>
      <c r="GA133" s="17"/>
      <c r="GB133" s="17"/>
      <c r="GC133" s="17"/>
      <c r="GD133" s="17"/>
      <c r="GE133" s="17"/>
      <c r="GF133" s="17"/>
      <c r="GG133" s="17"/>
      <c r="GH133" s="17"/>
      <c r="GI133" s="17"/>
      <c r="GJ133" s="17"/>
      <c r="GK133" s="17"/>
      <c r="GL133" s="17"/>
      <c r="GM133" s="17"/>
      <c r="GN133" s="17"/>
      <c r="GO133" s="17"/>
      <c r="GP133" s="17"/>
      <c r="GQ133" s="17"/>
      <c r="GR133" s="17"/>
      <c r="GS133" s="17"/>
      <c r="GT133" s="17"/>
      <c r="GU133" s="17"/>
      <c r="GV133" s="17"/>
      <c r="GW133" s="17"/>
      <c r="GX133" s="17"/>
      <c r="GY133" s="17"/>
      <c r="GZ133" s="17"/>
      <c r="HA133" s="17"/>
      <c r="HB133" s="17"/>
      <c r="HC133" s="17"/>
      <c r="HD133" s="17"/>
      <c r="HE133" s="17"/>
      <c r="HF133" s="17"/>
      <c r="HG133" s="17"/>
      <c r="HH133" s="17"/>
      <c r="HI133" s="17"/>
      <c r="HJ133" s="17"/>
      <c r="HK133" s="17"/>
      <c r="HL133" s="17"/>
      <c r="HM133" s="17"/>
      <c r="HN133" s="17"/>
      <c r="HO133" s="17"/>
      <c r="HP133" s="17"/>
      <c r="HQ133" s="17"/>
      <c r="HR133" s="17"/>
      <c r="HS133" s="17"/>
      <c r="HT133" s="17"/>
      <c r="HU133" s="17"/>
      <c r="HV133" s="17"/>
      <c r="HW133" s="17"/>
      <c r="HX133" s="17"/>
      <c r="HY133" s="17"/>
      <c r="HZ133" s="17"/>
      <c r="IA133" s="17"/>
      <c r="IB133" s="17"/>
      <c r="IC133" s="17"/>
      <c r="ID133" s="17"/>
      <c r="IE133" s="17"/>
      <c r="IF133" s="17"/>
      <c r="IG133" s="17"/>
      <c r="IH133" s="17"/>
      <c r="II133" s="17"/>
      <c r="IJ133" s="17"/>
      <c r="IK133" s="17"/>
      <c r="IL133" s="17"/>
      <c r="IM133" s="17"/>
      <c r="IN133" s="17"/>
      <c r="IO133" s="17"/>
      <c r="IP133" s="17"/>
      <c r="IQ133" s="17"/>
      <c r="IR133" s="17"/>
      <c r="IS133" s="17"/>
      <c r="IT133" s="17"/>
      <c r="IU133" s="17"/>
      <c r="IV133" s="17"/>
      <c r="IW133" s="17"/>
      <c r="IX133" s="17"/>
      <c r="IY133" s="17"/>
      <c r="IZ133" s="17"/>
      <c r="JA133" s="17"/>
      <c r="JB133" s="17"/>
      <c r="JC133" s="17"/>
      <c r="JD133" s="17"/>
      <c r="JE133" s="17"/>
      <c r="JF133" s="17"/>
      <c r="JG133" s="17"/>
      <c r="JH133" s="17"/>
      <c r="JI133" s="17"/>
      <c r="JJ133" s="17"/>
      <c r="JK133" s="17"/>
      <c r="JL133" s="17"/>
      <c r="JM133" s="17"/>
      <c r="JN133" s="17"/>
      <c r="JO133" s="17"/>
      <c r="JP133" s="17"/>
      <c r="JQ133" s="17"/>
      <c r="JR133" s="17"/>
      <c r="JS133" s="17"/>
      <c r="JT133" s="17"/>
      <c r="JU133" s="17"/>
      <c r="JV133" s="17"/>
      <c r="JW133" s="17"/>
      <c r="JX133" s="17"/>
      <c r="JY133" s="17"/>
      <c r="JZ133" s="17"/>
      <c r="KA133" s="17"/>
      <c r="KB133" s="17"/>
      <c r="KC133" s="17"/>
      <c r="KD133" s="17"/>
      <c r="KE133" s="17"/>
      <c r="KF133" s="17"/>
      <c r="KG133" s="17"/>
      <c r="KH133" s="17"/>
      <c r="KI133" s="17"/>
      <c r="KJ133" s="17"/>
      <c r="KK133" s="17"/>
      <c r="KL133" s="17"/>
      <c r="KM133" s="17"/>
      <c r="KN133" s="17"/>
      <c r="KO133" s="17"/>
      <c r="KP133" s="17"/>
      <c r="KQ133" s="17"/>
      <c r="KR133" s="17"/>
      <c r="KS133" s="17"/>
      <c r="KT133" s="17"/>
      <c r="KU133" s="17"/>
      <c r="KV133" s="17"/>
      <c r="KW133" s="17"/>
      <c r="KX133" s="17"/>
      <c r="KY133" s="17"/>
      <c r="KZ133" s="17"/>
      <c r="LA133" s="17"/>
      <c r="LB133" s="17"/>
      <c r="LC133" s="17"/>
      <c r="LD133" s="17"/>
      <c r="LE133" s="17"/>
      <c r="LF133" s="17"/>
      <c r="LG133" s="17"/>
      <c r="LH133" s="17"/>
      <c r="LI133" s="17"/>
      <c r="LJ133" s="17"/>
      <c r="LK133" s="17"/>
      <c r="LL133" s="17"/>
      <c r="LM133" s="17"/>
      <c r="LN133" s="17"/>
      <c r="LO133" s="17"/>
      <c r="LP133" s="17"/>
      <c r="LQ133" s="17"/>
      <c r="LR133" s="17"/>
      <c r="LS133" s="17"/>
      <c r="LT133" s="17"/>
      <c r="LU133" s="17"/>
      <c r="LV133" s="17"/>
      <c r="LW133" s="17"/>
      <c r="LX133" s="17"/>
      <c r="LY133" s="17"/>
      <c r="LZ133" s="17"/>
      <c r="MA133" s="17"/>
      <c r="MB133" s="17"/>
      <c r="MC133" s="17"/>
      <c r="MD133" s="17"/>
      <c r="ME133" s="17"/>
      <c r="MF133" s="17"/>
      <c r="MG133" s="17"/>
      <c r="MH133" s="17"/>
      <c r="MI133" s="17"/>
      <c r="MJ133" s="17"/>
      <c r="MK133" s="17"/>
      <c r="ML133" s="17"/>
      <c r="MM133" s="17"/>
      <c r="MN133" s="17"/>
      <c r="MO133" s="17"/>
      <c r="MP133" s="17"/>
      <c r="MQ133" s="17"/>
      <c r="MR133" s="17"/>
      <c r="MS133" s="17"/>
      <c r="MT133" s="17"/>
      <c r="MU133" s="17"/>
      <c r="MV133" s="17"/>
      <c r="MW133" s="17"/>
      <c r="MX133" s="17"/>
      <c r="MY133" s="17"/>
      <c r="MZ133" s="17"/>
      <c r="NA133" s="17"/>
      <c r="NB133" s="17"/>
      <c r="NC133" s="17"/>
      <c r="ND133" s="17"/>
      <c r="NE133" s="17"/>
      <c r="NF133" s="17"/>
      <c r="NG133" s="17"/>
      <c r="NH133" s="17"/>
      <c r="NI133" s="17"/>
      <c r="NJ133" s="17"/>
      <c r="NK133" s="17"/>
      <c r="NL133" s="17"/>
      <c r="NM133" s="17"/>
      <c r="NN133" s="17"/>
      <c r="NO133" s="17"/>
      <c r="NP133" s="17"/>
      <c r="NQ133" s="17"/>
      <c r="NR133" s="17"/>
      <c r="NS133" s="17"/>
      <c r="NT133" s="17"/>
      <c r="NU133" s="17"/>
      <c r="NV133" s="17"/>
      <c r="NW133" s="17"/>
      <c r="NX133" s="17"/>
      <c r="NY133" s="17"/>
      <c r="NZ133" s="17"/>
      <c r="OA133" s="17"/>
      <c r="OB133" s="17"/>
      <c r="OC133" s="17"/>
      <c r="OD133" s="17"/>
      <c r="OE133" s="17"/>
      <c r="OF133" s="17"/>
      <c r="OG133" s="17"/>
      <c r="OH133" s="17"/>
      <c r="OI133" s="17"/>
      <c r="OJ133" s="17"/>
      <c r="OK133" s="17"/>
      <c r="OL133" s="17"/>
      <c r="OM133" s="17"/>
      <c r="ON133" s="17"/>
      <c r="OO133" s="17"/>
      <c r="OP133" s="17"/>
      <c r="OQ133" s="17"/>
      <c r="OR133" s="17"/>
      <c r="OS133" s="17"/>
      <c r="OT133" s="17"/>
      <c r="OU133" s="17"/>
      <c r="OV133" s="17"/>
      <c r="OW133" s="17"/>
      <c r="OX133" s="17"/>
      <c r="OY133" s="17"/>
      <c r="OZ133" s="17"/>
      <c r="PA133" s="17"/>
      <c r="PB133" s="17"/>
      <c r="PC133" s="17"/>
      <c r="PD133" s="17"/>
      <c r="PE133" s="17"/>
      <c r="PF133" s="17"/>
      <c r="PG133" s="17"/>
      <c r="PH133" s="17"/>
      <c r="PI133" s="17"/>
      <c r="PJ133" s="17"/>
      <c r="PK133" s="17"/>
      <c r="PL133" s="17"/>
      <c r="PM133" s="17"/>
      <c r="PN133" s="17"/>
      <c r="PO133" s="17"/>
      <c r="PP133" s="17"/>
      <c r="PQ133" s="17"/>
      <c r="PR133" s="17"/>
      <c r="PS133" s="17"/>
      <c r="PT133" s="17"/>
      <c r="PU133" s="17"/>
      <c r="PV133" s="17"/>
      <c r="PW133" s="17"/>
      <c r="PX133" s="17"/>
      <c r="PY133" s="17"/>
      <c r="PZ133" s="17"/>
      <c r="QA133" s="17"/>
      <c r="QB133" s="17"/>
      <c r="QC133" s="17"/>
      <c r="QD133" s="17"/>
      <c r="QE133" s="17"/>
      <c r="QF133" s="17"/>
      <c r="QG133" s="17"/>
      <c r="QH133" s="17"/>
      <c r="QI133" s="17"/>
      <c r="QJ133" s="17"/>
      <c r="QK133" s="17"/>
      <c r="QL133" s="17"/>
      <c r="QM133" s="17"/>
      <c r="QN133" s="17"/>
      <c r="QO133" s="17"/>
      <c r="QP133" s="17"/>
      <c r="QQ133" s="17"/>
      <c r="QR133" s="17"/>
      <c r="QS133" s="17"/>
      <c r="QT133" s="17"/>
      <c r="QU133" s="17"/>
      <c r="QV133" s="17"/>
      <c r="QW133" s="17"/>
      <c r="QX133" s="17"/>
      <c r="QY133" s="17"/>
      <c r="QZ133" s="17"/>
      <c r="RA133" s="17"/>
      <c r="RB133" s="17"/>
      <c r="RC133" s="17"/>
      <c r="RD133" s="17"/>
      <c r="RE133" s="17"/>
      <c r="RF133" s="17"/>
      <c r="RG133" s="17"/>
      <c r="RH133" s="17"/>
      <c r="RI133" s="17"/>
      <c r="RJ133" s="17"/>
      <c r="RK133" s="17"/>
      <c r="RL133" s="17"/>
      <c r="RM133" s="17"/>
      <c r="RN133" s="17"/>
      <c r="RO133" s="17"/>
      <c r="RP133" s="17"/>
      <c r="RQ133" s="17"/>
      <c r="RR133" s="17"/>
      <c r="RS133" s="17"/>
      <c r="RT133" s="17"/>
      <c r="RU133" s="17"/>
      <c r="RV133" s="17"/>
      <c r="RW133" s="17"/>
      <c r="RX133" s="18"/>
    </row>
    <row r="134" spans="1:492" ht="14.4" outlineLevel="1">
      <c r="A134" s="19"/>
      <c r="D134" s="5" t="s">
        <v>45</v>
      </c>
      <c r="E134" s="4">
        <v>46261</v>
      </c>
      <c r="F134" s="4">
        <v>46261</v>
      </c>
      <c r="G134" s="2">
        <f t="shared" ref="G134" si="20">NETWORKDAYS(E134, F134)</f>
        <v>1</v>
      </c>
      <c r="H134" s="4">
        <v>46261</v>
      </c>
      <c r="I134" s="4">
        <v>46261</v>
      </c>
      <c r="J134" s="2">
        <f t="shared" ref="J134:J139" si="21">NETWORKDAYS(H134, I134)</f>
        <v>1</v>
      </c>
      <c r="RX134" s="20"/>
    </row>
    <row r="135" spans="1:492" ht="14.4" outlineLevel="1">
      <c r="A135" s="19"/>
      <c r="D135" s="5" t="s">
        <v>46</v>
      </c>
      <c r="E135" s="4">
        <v>46262</v>
      </c>
      <c r="F135" s="4">
        <f>WORKDAY(E135,(G135-1))</f>
        <v>46262</v>
      </c>
      <c r="G135" s="2">
        <v>1</v>
      </c>
      <c r="H135" s="4">
        <v>46263</v>
      </c>
      <c r="I135" s="4">
        <v>46263</v>
      </c>
      <c r="J135" s="2">
        <f t="shared" si="21"/>
        <v>0</v>
      </c>
      <c r="RX135" s="20"/>
    </row>
    <row r="136" spans="1:492" ht="14.4" outlineLevel="1">
      <c r="A136" s="19"/>
      <c r="D136" s="5" t="s">
        <v>47</v>
      </c>
      <c r="E136" s="4">
        <f>F135</f>
        <v>46262</v>
      </c>
      <c r="F136" s="4">
        <f>WORKDAY(E136,(G136-1))</f>
        <v>46268</v>
      </c>
      <c r="G136" s="2">
        <v>5</v>
      </c>
      <c r="H136" s="4">
        <f>I135</f>
        <v>46263</v>
      </c>
      <c r="I136" s="4">
        <v>46287</v>
      </c>
      <c r="J136" s="2">
        <f t="shared" si="21"/>
        <v>17</v>
      </c>
      <c r="RX136" s="20"/>
    </row>
    <row r="137" spans="1:492" ht="14.4" outlineLevel="1">
      <c r="A137" s="19"/>
      <c r="D137" s="5" t="s">
        <v>48</v>
      </c>
      <c r="E137" s="4">
        <v>46269</v>
      </c>
      <c r="F137" s="4">
        <f>WORKDAY(E137,(G137-1))</f>
        <v>46269</v>
      </c>
      <c r="G137" s="2">
        <v>1</v>
      </c>
      <c r="H137" s="4">
        <v>46288</v>
      </c>
      <c r="I137" s="4">
        <v>46288</v>
      </c>
      <c r="J137" s="2">
        <f t="shared" si="21"/>
        <v>1</v>
      </c>
      <c r="RX137" s="20"/>
    </row>
    <row r="138" spans="1:492" ht="14.4" outlineLevel="1">
      <c r="A138" s="19"/>
      <c r="D138" s="5" t="s">
        <v>74</v>
      </c>
      <c r="E138" s="4">
        <v>46295</v>
      </c>
      <c r="F138" s="4">
        <f>WORKDAY(E138,(G138-1))</f>
        <v>46295</v>
      </c>
      <c r="G138" s="2">
        <v>1</v>
      </c>
      <c r="H138" s="4">
        <v>46295</v>
      </c>
      <c r="I138" s="4">
        <v>46295</v>
      </c>
      <c r="J138" s="2">
        <f t="shared" si="21"/>
        <v>1</v>
      </c>
      <c r="RX138" s="20"/>
    </row>
    <row r="139" spans="1:492" ht="14.4" outlineLevel="1">
      <c r="A139" s="19"/>
      <c r="D139" s="5" t="s">
        <v>50</v>
      </c>
      <c r="E139" s="4">
        <f>F138</f>
        <v>46295</v>
      </c>
      <c r="F139" s="4">
        <v>46300</v>
      </c>
      <c r="G139" s="2">
        <v>5</v>
      </c>
      <c r="H139" s="4">
        <f>I138</f>
        <v>46295</v>
      </c>
      <c r="I139" s="4">
        <v>46300</v>
      </c>
      <c r="J139" s="2">
        <f t="shared" si="21"/>
        <v>4</v>
      </c>
      <c r="RX139" s="20"/>
    </row>
    <row r="140" spans="1:492" ht="14.4" outlineLevel="1">
      <c r="A140" s="19"/>
      <c r="D140" s="36" t="s">
        <v>75</v>
      </c>
      <c r="E140" s="37">
        <v>46296</v>
      </c>
      <c r="F140" s="37">
        <v>46303</v>
      </c>
      <c r="G140" s="34">
        <f t="shared" ref="G140:G141" si="22">NETWORKDAYS(E140, F140)</f>
        <v>6</v>
      </c>
      <c r="H140" s="37">
        <v>46296</v>
      </c>
      <c r="I140" s="37">
        <v>46303</v>
      </c>
      <c r="J140" s="34">
        <f t="shared" ref="J140" si="23">NETWORKDAYS(H140, I140)</f>
        <v>6</v>
      </c>
      <c r="RX140" s="20"/>
    </row>
    <row r="141" spans="1:492" ht="14.4" outlineLevel="1">
      <c r="A141" s="19"/>
      <c r="D141" s="5" t="s">
        <v>76</v>
      </c>
      <c r="E141" s="4">
        <v>46301</v>
      </c>
      <c r="F141" s="4">
        <v>46301</v>
      </c>
      <c r="G141" s="2">
        <f t="shared" si="22"/>
        <v>1</v>
      </c>
      <c r="RX141" s="20"/>
    </row>
    <row r="142" spans="1:492" ht="14.4" outlineLevel="1">
      <c r="A142" s="19"/>
      <c r="D142" s="5" t="s">
        <v>77</v>
      </c>
      <c r="E142" s="4">
        <v>46306</v>
      </c>
      <c r="F142" s="4">
        <f>WORKDAY(E142,(G142-1))</f>
        <v>46306</v>
      </c>
      <c r="G142" s="2">
        <v>1</v>
      </c>
      <c r="RX142" s="20"/>
    </row>
    <row r="143" spans="1:492" ht="14.4" outlineLevel="1">
      <c r="A143" s="19"/>
      <c r="D143" s="5" t="s">
        <v>78</v>
      </c>
      <c r="E143" s="4">
        <f>F142</f>
        <v>46306</v>
      </c>
      <c r="F143" s="4">
        <v>46312</v>
      </c>
      <c r="G143" s="2">
        <f t="shared" ref="G143" si="24">NETWORKDAYS(E143, F143)</f>
        <v>5</v>
      </c>
      <c r="RX143" s="20"/>
    </row>
    <row r="144" spans="1:492" ht="14.4" outlineLevel="1">
      <c r="A144" s="19"/>
      <c r="D144" s="5" t="s">
        <v>34</v>
      </c>
      <c r="E144" s="4">
        <f>F143</f>
        <v>46312</v>
      </c>
      <c r="F144" s="4">
        <f>WORKDAY(E144,(G144-1))</f>
        <v>46312</v>
      </c>
      <c r="G144" s="2">
        <v>1</v>
      </c>
      <c r="RX144" s="20"/>
    </row>
    <row r="145" spans="1:492" ht="14.4" outlineLevel="1">
      <c r="A145" s="19"/>
      <c r="D145" s="5" t="s">
        <v>35</v>
      </c>
      <c r="E145" s="4">
        <f>F144</f>
        <v>46312</v>
      </c>
      <c r="F145" s="4">
        <f>WORKDAY(E145,(G145-1))</f>
        <v>46316</v>
      </c>
      <c r="G145" s="2">
        <v>4</v>
      </c>
      <c r="RX145" s="20"/>
    </row>
    <row r="146" spans="1:492" ht="14.4" outlineLevel="1">
      <c r="A146" s="19"/>
      <c r="D146" s="5" t="s">
        <v>36</v>
      </c>
      <c r="E146" s="4">
        <f>F145</f>
        <v>46316</v>
      </c>
      <c r="F146" s="4">
        <f>E146</f>
        <v>46316</v>
      </c>
      <c r="G146" s="2">
        <v>1</v>
      </c>
      <c r="RX146" s="20"/>
    </row>
    <row r="147" spans="1:492" ht="14.4" outlineLevel="1">
      <c r="A147" s="19"/>
      <c r="D147" s="5" t="s">
        <v>37</v>
      </c>
      <c r="E147" s="4">
        <f>WORKDAY(F146,2)-1</f>
        <v>46317</v>
      </c>
      <c r="F147" s="4">
        <f>WORKDAY(E147,(G147-1))</f>
        <v>46317</v>
      </c>
      <c r="G147" s="2">
        <v>1</v>
      </c>
      <c r="RX147" s="20"/>
    </row>
    <row r="148" spans="1:492" ht="14.4" outlineLevel="1">
      <c r="A148" s="19"/>
      <c r="D148" s="5" t="s">
        <v>38</v>
      </c>
      <c r="E148" s="4">
        <f>WORKDAY(F147,2)-1</f>
        <v>46320</v>
      </c>
      <c r="F148" s="4">
        <f>WORKDAY(E148,(G148-1))</f>
        <v>46321</v>
      </c>
      <c r="G148" s="2">
        <v>2</v>
      </c>
      <c r="RX148" s="20"/>
    </row>
    <row r="149" spans="1:492" ht="14.4" outlineLevel="1">
      <c r="A149" s="19"/>
      <c r="D149" s="5" t="s">
        <v>41</v>
      </c>
      <c r="E149" s="4">
        <f>WORKDAY(F148,3)-1</f>
        <v>46323</v>
      </c>
      <c r="F149" s="4">
        <f>WORKDAY(E149,(G149-1))</f>
        <v>46324</v>
      </c>
      <c r="G149" s="2">
        <v>2</v>
      </c>
      <c r="RX149" s="20"/>
    </row>
    <row r="150" spans="1:492" ht="15" customHeight="1" outlineLevel="1"/>
    <row r="151" spans="1:492" ht="15" customHeight="1">
      <c r="A151" s="13" t="s">
        <v>79</v>
      </c>
      <c r="B151" s="14" t="s">
        <v>62</v>
      </c>
      <c r="C151" s="33">
        <f>COUNTA(I152:I175)/COUNTA(F152:F175)</f>
        <v>0.375</v>
      </c>
      <c r="D151" s="15" t="s">
        <v>23</v>
      </c>
      <c r="E151" s="16">
        <f>E152</f>
        <v>46258</v>
      </c>
      <c r="F151" s="16">
        <f>F162</f>
        <v>46358</v>
      </c>
      <c r="G151" s="35">
        <f>F151-E151</f>
        <v>100</v>
      </c>
      <c r="H151" s="16">
        <f>H152</f>
        <v>0</v>
      </c>
      <c r="I151" s="16">
        <f>I162</f>
        <v>0</v>
      </c>
      <c r="J151" s="35">
        <f>I151-H151</f>
        <v>0</v>
      </c>
      <c r="K151" s="14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  <c r="EW151" s="17"/>
      <c r="EX151" s="17"/>
      <c r="EY151" s="17"/>
      <c r="EZ151" s="17"/>
      <c r="FA151" s="17"/>
      <c r="FB151" s="17"/>
      <c r="FC151" s="17"/>
      <c r="FD151" s="17"/>
      <c r="FE151" s="17"/>
      <c r="FF151" s="17"/>
      <c r="FG151" s="17"/>
      <c r="FH151" s="17"/>
      <c r="FI151" s="17"/>
      <c r="FJ151" s="17"/>
      <c r="FK151" s="17"/>
      <c r="FL151" s="17"/>
      <c r="FM151" s="17"/>
      <c r="FN151" s="17"/>
      <c r="FO151" s="17"/>
      <c r="FP151" s="17"/>
      <c r="FQ151" s="17"/>
      <c r="FR151" s="17"/>
      <c r="FS151" s="17"/>
      <c r="FT151" s="17"/>
      <c r="FU151" s="17"/>
      <c r="FV151" s="17"/>
      <c r="FW151" s="17"/>
      <c r="FX151" s="17"/>
      <c r="FY151" s="17"/>
      <c r="FZ151" s="17"/>
      <c r="GA151" s="17"/>
      <c r="GB151" s="17"/>
      <c r="GC151" s="17"/>
      <c r="GD151" s="17"/>
      <c r="GE151" s="17"/>
      <c r="GF151" s="17"/>
      <c r="GG151" s="17"/>
      <c r="GH151" s="17"/>
      <c r="GI151" s="17"/>
      <c r="GJ151" s="17"/>
      <c r="GK151" s="17"/>
      <c r="GL151" s="17"/>
      <c r="GM151" s="17"/>
      <c r="GN151" s="17"/>
      <c r="GO151" s="17"/>
      <c r="GP151" s="17"/>
      <c r="GQ151" s="17"/>
      <c r="GR151" s="17"/>
      <c r="GS151" s="17"/>
      <c r="GT151" s="17"/>
      <c r="GU151" s="17"/>
      <c r="GV151" s="17"/>
      <c r="GW151" s="17"/>
      <c r="GX151" s="17"/>
      <c r="GY151" s="17"/>
      <c r="GZ151" s="17"/>
      <c r="HA151" s="17"/>
      <c r="HB151" s="17"/>
      <c r="HC151" s="17"/>
      <c r="HD151" s="17"/>
      <c r="HE151" s="17"/>
      <c r="HF151" s="17"/>
      <c r="HG151" s="17"/>
      <c r="HH151" s="17"/>
      <c r="HI151" s="17"/>
      <c r="HJ151" s="17"/>
      <c r="HK151" s="17"/>
      <c r="HL151" s="17"/>
      <c r="HM151" s="17"/>
      <c r="HN151" s="17"/>
      <c r="HO151" s="17"/>
      <c r="HP151" s="17"/>
      <c r="HQ151" s="17"/>
      <c r="HR151" s="17"/>
      <c r="HS151" s="17"/>
      <c r="HT151" s="17"/>
      <c r="HU151" s="17"/>
      <c r="HV151" s="17"/>
      <c r="HW151" s="17"/>
      <c r="HX151" s="17"/>
      <c r="HY151" s="17"/>
      <c r="HZ151" s="17"/>
      <c r="IA151" s="17"/>
      <c r="IB151" s="17"/>
      <c r="IC151" s="17"/>
      <c r="ID151" s="17"/>
      <c r="IE151" s="17"/>
      <c r="IF151" s="17"/>
      <c r="IG151" s="17"/>
      <c r="IH151" s="17"/>
      <c r="II151" s="17"/>
      <c r="IJ151" s="17"/>
      <c r="IK151" s="17"/>
      <c r="IL151" s="17"/>
      <c r="IM151" s="17"/>
      <c r="IN151" s="17"/>
      <c r="IO151" s="17"/>
      <c r="IP151" s="17"/>
      <c r="IQ151" s="17"/>
      <c r="IR151" s="17"/>
      <c r="IS151" s="17"/>
      <c r="IT151" s="17"/>
      <c r="IU151" s="17"/>
      <c r="IV151" s="17"/>
      <c r="IW151" s="17"/>
      <c r="IX151" s="17"/>
      <c r="IY151" s="17"/>
      <c r="IZ151" s="17"/>
      <c r="JA151" s="17"/>
      <c r="JB151" s="17"/>
      <c r="JC151" s="17"/>
      <c r="JD151" s="17"/>
      <c r="JE151" s="17"/>
      <c r="JF151" s="17"/>
      <c r="JG151" s="17"/>
      <c r="JH151" s="17"/>
      <c r="JI151" s="17"/>
      <c r="JJ151" s="17"/>
      <c r="JK151" s="17"/>
      <c r="JL151" s="17"/>
      <c r="JM151" s="17"/>
      <c r="JN151" s="17"/>
      <c r="JO151" s="17"/>
      <c r="JP151" s="17"/>
      <c r="JQ151" s="17"/>
      <c r="JR151" s="17"/>
      <c r="JS151" s="17"/>
      <c r="JT151" s="17"/>
      <c r="JU151" s="17"/>
      <c r="JV151" s="17"/>
      <c r="JW151" s="17"/>
      <c r="JX151" s="17"/>
      <c r="JY151" s="17"/>
      <c r="JZ151" s="17"/>
      <c r="KA151" s="17"/>
      <c r="KB151" s="17"/>
      <c r="KC151" s="17"/>
      <c r="KD151" s="17"/>
      <c r="KE151" s="17"/>
      <c r="KF151" s="17"/>
      <c r="KG151" s="17"/>
      <c r="KH151" s="17"/>
      <c r="KI151" s="17"/>
      <c r="KJ151" s="17"/>
      <c r="KK151" s="17"/>
      <c r="KL151" s="17"/>
      <c r="KM151" s="17"/>
      <c r="KN151" s="17"/>
      <c r="KO151" s="17"/>
      <c r="KP151" s="17"/>
      <c r="KQ151" s="17"/>
      <c r="KR151" s="17"/>
      <c r="KS151" s="17"/>
      <c r="KT151" s="17"/>
      <c r="KU151" s="17"/>
      <c r="KV151" s="17"/>
      <c r="KW151" s="17"/>
      <c r="KX151" s="17"/>
      <c r="KY151" s="17"/>
      <c r="KZ151" s="17"/>
      <c r="LA151" s="17"/>
      <c r="LB151" s="17"/>
      <c r="LC151" s="17"/>
      <c r="LD151" s="17"/>
      <c r="LE151" s="17"/>
      <c r="LF151" s="17"/>
      <c r="LG151" s="17"/>
      <c r="LH151" s="17"/>
      <c r="LI151" s="17"/>
      <c r="LJ151" s="17"/>
      <c r="LK151" s="17"/>
      <c r="LL151" s="17"/>
      <c r="LM151" s="17"/>
      <c r="LN151" s="17"/>
      <c r="LO151" s="17"/>
      <c r="LP151" s="17"/>
      <c r="LQ151" s="17"/>
      <c r="LR151" s="17"/>
      <c r="LS151" s="17"/>
      <c r="LT151" s="17"/>
      <c r="LU151" s="17"/>
      <c r="LV151" s="17"/>
      <c r="LW151" s="17"/>
      <c r="LX151" s="17"/>
      <c r="LY151" s="17"/>
      <c r="LZ151" s="17"/>
      <c r="MA151" s="17"/>
      <c r="MB151" s="17"/>
      <c r="MC151" s="17"/>
      <c r="MD151" s="17"/>
      <c r="ME151" s="17"/>
      <c r="MF151" s="17"/>
      <c r="MG151" s="17"/>
      <c r="MH151" s="17"/>
      <c r="MI151" s="17"/>
      <c r="MJ151" s="17"/>
      <c r="MK151" s="17"/>
      <c r="ML151" s="17"/>
      <c r="MM151" s="17"/>
      <c r="MN151" s="17"/>
      <c r="MO151" s="17"/>
      <c r="MP151" s="17"/>
      <c r="MQ151" s="17"/>
      <c r="MR151" s="17"/>
      <c r="MS151" s="17"/>
      <c r="MT151" s="17"/>
      <c r="MU151" s="17"/>
      <c r="MV151" s="17"/>
      <c r="MW151" s="17"/>
      <c r="MX151" s="17"/>
      <c r="MY151" s="17"/>
      <c r="MZ151" s="17"/>
      <c r="NA151" s="17"/>
      <c r="NB151" s="17"/>
      <c r="NC151" s="17"/>
      <c r="ND151" s="17"/>
      <c r="NE151" s="17"/>
      <c r="NF151" s="17"/>
      <c r="NG151" s="17"/>
      <c r="NH151" s="17"/>
      <c r="NI151" s="17"/>
      <c r="NJ151" s="17"/>
      <c r="NK151" s="17"/>
      <c r="NL151" s="17"/>
      <c r="NM151" s="17"/>
      <c r="NN151" s="17"/>
      <c r="NO151" s="17"/>
      <c r="NP151" s="17"/>
      <c r="NQ151" s="17"/>
      <c r="NR151" s="17"/>
      <c r="NS151" s="17"/>
      <c r="NT151" s="17"/>
      <c r="NU151" s="17"/>
      <c r="NV151" s="17"/>
      <c r="NW151" s="17"/>
      <c r="NX151" s="17"/>
      <c r="NY151" s="17"/>
      <c r="NZ151" s="17"/>
      <c r="OA151" s="17"/>
      <c r="OB151" s="17"/>
      <c r="OC151" s="17"/>
      <c r="OD151" s="17"/>
      <c r="OE151" s="17"/>
      <c r="OF151" s="17"/>
      <c r="OG151" s="17"/>
      <c r="OH151" s="17"/>
      <c r="OI151" s="17"/>
      <c r="OJ151" s="17"/>
      <c r="OK151" s="17"/>
      <c r="OL151" s="17"/>
      <c r="OM151" s="17"/>
      <c r="ON151" s="17"/>
      <c r="OO151" s="17"/>
      <c r="OP151" s="17"/>
      <c r="OQ151" s="17"/>
      <c r="OR151" s="17"/>
      <c r="OS151" s="17"/>
      <c r="OT151" s="17"/>
      <c r="OU151" s="17"/>
      <c r="OV151" s="17"/>
      <c r="OW151" s="17"/>
      <c r="OX151" s="17"/>
      <c r="OY151" s="17"/>
      <c r="OZ151" s="17"/>
      <c r="PA151" s="17"/>
      <c r="PB151" s="17"/>
      <c r="PC151" s="17"/>
      <c r="PD151" s="17"/>
      <c r="PE151" s="17"/>
      <c r="PF151" s="17"/>
      <c r="PG151" s="17"/>
      <c r="PH151" s="17"/>
      <c r="PI151" s="17"/>
      <c r="PJ151" s="17"/>
      <c r="PK151" s="17"/>
      <c r="PL151" s="17"/>
      <c r="PM151" s="17"/>
      <c r="PN151" s="17"/>
      <c r="PO151" s="17"/>
      <c r="PP151" s="17"/>
      <c r="PQ151" s="17"/>
      <c r="PR151" s="17"/>
      <c r="PS151" s="17"/>
      <c r="PT151" s="17"/>
      <c r="PU151" s="17"/>
      <c r="PV151" s="17"/>
      <c r="PW151" s="17"/>
      <c r="PX151" s="17"/>
      <c r="PY151" s="17"/>
      <c r="PZ151" s="17"/>
      <c r="QA151" s="17"/>
      <c r="QB151" s="17"/>
      <c r="QC151" s="17"/>
      <c r="QD151" s="17"/>
      <c r="QE151" s="17"/>
      <c r="QF151" s="17"/>
      <c r="QG151" s="17"/>
      <c r="QH151" s="17"/>
      <c r="QI151" s="17"/>
      <c r="QJ151" s="17"/>
      <c r="QK151" s="17"/>
      <c r="QL151" s="17"/>
      <c r="QM151" s="17"/>
      <c r="QN151" s="17"/>
      <c r="QO151" s="17"/>
      <c r="QP151" s="17"/>
      <c r="QQ151" s="17"/>
      <c r="QR151" s="17"/>
      <c r="QS151" s="17"/>
      <c r="QT151" s="17"/>
      <c r="QU151" s="17"/>
      <c r="QV151" s="17"/>
      <c r="QW151" s="17"/>
      <c r="QX151" s="17"/>
      <c r="QY151" s="17"/>
      <c r="QZ151" s="17"/>
      <c r="RA151" s="17"/>
      <c r="RB151" s="17"/>
      <c r="RC151" s="17"/>
      <c r="RD151" s="17"/>
      <c r="RE151" s="17"/>
      <c r="RF151" s="17"/>
      <c r="RG151" s="17"/>
      <c r="RH151" s="17"/>
      <c r="RI151" s="17"/>
      <c r="RJ151" s="17"/>
      <c r="RK151" s="17"/>
      <c r="RL151" s="17"/>
      <c r="RM151" s="17"/>
      <c r="RN151" s="17"/>
      <c r="RO151" s="17"/>
      <c r="RP151" s="17"/>
      <c r="RQ151" s="17"/>
      <c r="RR151" s="17"/>
      <c r="RS151" s="17"/>
      <c r="RT151" s="17"/>
      <c r="RU151" s="17"/>
      <c r="RV151" s="17"/>
      <c r="RW151" s="17"/>
      <c r="RX151" s="18"/>
    </row>
    <row r="152" spans="1:492" ht="15" customHeight="1" outlineLevel="1">
      <c r="D152" s="40" t="s">
        <v>80</v>
      </c>
      <c r="E152" s="41">
        <v>46258</v>
      </c>
      <c r="F152" s="41">
        <v>46262</v>
      </c>
      <c r="G152" s="42">
        <f t="shared" ref="G152:G162" si="25">NETWORKDAYS(E152, F152)</f>
        <v>5</v>
      </c>
    </row>
    <row r="153" spans="1:492" ht="15" customHeight="1" outlineLevel="1">
      <c r="D153" s="40" t="s">
        <v>81</v>
      </c>
      <c r="E153" s="41">
        <v>46265</v>
      </c>
      <c r="F153" s="41">
        <v>46276</v>
      </c>
      <c r="G153" s="42">
        <f t="shared" si="25"/>
        <v>10</v>
      </c>
    </row>
    <row r="154" spans="1:492" ht="15" customHeight="1" outlineLevel="1">
      <c r="D154" s="40" t="s">
        <v>82</v>
      </c>
      <c r="E154" s="41">
        <v>46279</v>
      </c>
      <c r="F154" s="41">
        <v>46283</v>
      </c>
      <c r="G154" s="42">
        <f t="shared" si="25"/>
        <v>5</v>
      </c>
    </row>
    <row r="155" spans="1:492" ht="15" customHeight="1" outlineLevel="1">
      <c r="D155" s="40" t="s">
        <v>83</v>
      </c>
      <c r="E155" s="41">
        <v>46286</v>
      </c>
      <c r="F155" s="41">
        <v>46290</v>
      </c>
      <c r="G155" s="42">
        <f t="shared" si="25"/>
        <v>5</v>
      </c>
    </row>
    <row r="156" spans="1:492" ht="15" customHeight="1" outlineLevel="1">
      <c r="D156" s="40" t="s">
        <v>84</v>
      </c>
      <c r="E156" s="41">
        <v>46300</v>
      </c>
      <c r="F156" s="41">
        <v>46318</v>
      </c>
      <c r="G156" s="42">
        <f t="shared" si="25"/>
        <v>15</v>
      </c>
    </row>
    <row r="157" spans="1:492" ht="15" customHeight="1" outlineLevel="1">
      <c r="D157" s="40" t="s">
        <v>85</v>
      </c>
      <c r="E157" s="41">
        <v>46321</v>
      </c>
      <c r="F157" s="41">
        <v>46325</v>
      </c>
      <c r="G157" s="42">
        <f t="shared" si="25"/>
        <v>5</v>
      </c>
    </row>
    <row r="158" spans="1:492" ht="15" customHeight="1" outlineLevel="1">
      <c r="D158" s="40" t="s">
        <v>86</v>
      </c>
      <c r="E158" s="41">
        <v>46321</v>
      </c>
      <c r="F158" s="41">
        <v>46325</v>
      </c>
      <c r="G158" s="42">
        <f t="shared" si="25"/>
        <v>5</v>
      </c>
    </row>
    <row r="159" spans="1:492" ht="15" customHeight="1" outlineLevel="1">
      <c r="D159" s="39" t="s">
        <v>87</v>
      </c>
      <c r="E159" s="38">
        <v>46328</v>
      </c>
      <c r="F159" s="38">
        <v>46332</v>
      </c>
      <c r="G159" s="43">
        <f t="shared" si="25"/>
        <v>5</v>
      </c>
    </row>
    <row r="160" spans="1:492" ht="15" customHeight="1" outlineLevel="1">
      <c r="D160" s="39" t="s">
        <v>88</v>
      </c>
      <c r="E160" s="38">
        <v>46335</v>
      </c>
      <c r="F160" s="38">
        <v>46365</v>
      </c>
      <c r="G160" s="43">
        <f t="shared" si="25"/>
        <v>23</v>
      </c>
    </row>
    <row r="161" spans="1:492" ht="15" customHeight="1" outlineLevel="1">
      <c r="D161" s="5" t="s">
        <v>89</v>
      </c>
      <c r="E161" s="4">
        <v>46301</v>
      </c>
      <c r="F161" s="4">
        <v>46301</v>
      </c>
      <c r="G161" s="2">
        <f t="shared" si="25"/>
        <v>1</v>
      </c>
      <c r="H161" s="4">
        <v>46301</v>
      </c>
      <c r="I161" s="4">
        <v>46301</v>
      </c>
      <c r="J161" s="2">
        <f t="shared" ref="J161" si="26">NETWORKDAYS(H161, I161)</f>
        <v>1</v>
      </c>
    </row>
    <row r="162" spans="1:492" ht="15" customHeight="1" outlineLevel="1">
      <c r="D162" s="5" t="s">
        <v>90</v>
      </c>
      <c r="E162" s="4">
        <v>46357</v>
      </c>
      <c r="F162" s="4">
        <v>46358</v>
      </c>
      <c r="G162" s="2">
        <f t="shared" si="25"/>
        <v>2</v>
      </c>
    </row>
    <row r="163" spans="1:492" ht="15" customHeight="1" outlineLevel="1"/>
    <row r="164" spans="1:492" ht="15" customHeight="1">
      <c r="A164" s="13" t="s">
        <v>91</v>
      </c>
      <c r="B164" s="14" t="s">
        <v>62</v>
      </c>
      <c r="C164" s="33" t="e">
        <f>COUNTA(I165:I166)/COUNTA(F165:F166)</f>
        <v>#DIV/0!</v>
      </c>
      <c r="D164" s="15" t="s">
        <v>23</v>
      </c>
      <c r="E164" s="16"/>
      <c r="F164" s="16"/>
      <c r="G164" s="35"/>
      <c r="H164" s="16"/>
      <c r="I164" s="16"/>
      <c r="J164" s="14"/>
      <c r="K164" s="14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  <c r="EW164" s="17"/>
      <c r="EX164" s="17"/>
      <c r="EY164" s="17"/>
      <c r="EZ164" s="17"/>
      <c r="FA164" s="17"/>
      <c r="FB164" s="17"/>
      <c r="FC164" s="17"/>
      <c r="FD164" s="17"/>
      <c r="FE164" s="17"/>
      <c r="FF164" s="17"/>
      <c r="FG164" s="17"/>
      <c r="FH164" s="17"/>
      <c r="FI164" s="17"/>
      <c r="FJ164" s="17"/>
      <c r="FK164" s="17"/>
      <c r="FL164" s="17"/>
      <c r="FM164" s="17"/>
      <c r="FN164" s="17"/>
      <c r="FO164" s="17"/>
      <c r="FP164" s="17"/>
      <c r="FQ164" s="17"/>
      <c r="FR164" s="17"/>
      <c r="FS164" s="17"/>
      <c r="FT164" s="17"/>
      <c r="FU164" s="17"/>
      <c r="FV164" s="17"/>
      <c r="FW164" s="17"/>
      <c r="FX164" s="17"/>
      <c r="FY164" s="17"/>
      <c r="FZ164" s="17"/>
      <c r="GA164" s="17"/>
      <c r="GB164" s="17"/>
      <c r="GC164" s="17"/>
      <c r="GD164" s="17"/>
      <c r="GE164" s="17"/>
      <c r="GF164" s="17"/>
      <c r="GG164" s="17"/>
      <c r="GH164" s="17"/>
      <c r="GI164" s="17"/>
      <c r="GJ164" s="17"/>
      <c r="GK164" s="17"/>
      <c r="GL164" s="17"/>
      <c r="GM164" s="17"/>
      <c r="GN164" s="17"/>
      <c r="GO164" s="17"/>
      <c r="GP164" s="17"/>
      <c r="GQ164" s="17"/>
      <c r="GR164" s="17"/>
      <c r="GS164" s="17"/>
      <c r="GT164" s="17"/>
      <c r="GU164" s="17"/>
      <c r="GV164" s="17"/>
      <c r="GW164" s="17"/>
      <c r="GX164" s="17"/>
      <c r="GY164" s="17"/>
      <c r="GZ164" s="17"/>
      <c r="HA164" s="17"/>
      <c r="HB164" s="17"/>
      <c r="HC164" s="17"/>
      <c r="HD164" s="17"/>
      <c r="HE164" s="17"/>
      <c r="HF164" s="17"/>
      <c r="HG164" s="17"/>
      <c r="HH164" s="17"/>
      <c r="HI164" s="17"/>
      <c r="HJ164" s="17"/>
      <c r="HK164" s="17"/>
      <c r="HL164" s="17"/>
      <c r="HM164" s="17"/>
      <c r="HN164" s="17"/>
      <c r="HO164" s="17"/>
      <c r="HP164" s="17"/>
      <c r="HQ164" s="17"/>
      <c r="HR164" s="17"/>
      <c r="HS164" s="17"/>
      <c r="HT164" s="17"/>
      <c r="HU164" s="17"/>
      <c r="HV164" s="17"/>
      <c r="HW164" s="17"/>
      <c r="HX164" s="17"/>
      <c r="HY164" s="17"/>
      <c r="HZ164" s="17"/>
      <c r="IA164" s="17"/>
      <c r="IB164" s="17"/>
      <c r="IC164" s="17"/>
      <c r="ID164" s="17"/>
      <c r="IE164" s="17"/>
      <c r="IF164" s="17"/>
      <c r="IG164" s="17"/>
      <c r="IH164" s="17"/>
      <c r="II164" s="17"/>
      <c r="IJ164" s="17"/>
      <c r="IK164" s="17"/>
      <c r="IL164" s="17"/>
      <c r="IM164" s="17"/>
      <c r="IN164" s="17"/>
      <c r="IO164" s="17"/>
      <c r="IP164" s="17"/>
      <c r="IQ164" s="17"/>
      <c r="IR164" s="17"/>
      <c r="IS164" s="17"/>
      <c r="IT164" s="17"/>
      <c r="IU164" s="17"/>
      <c r="IV164" s="17"/>
      <c r="IW164" s="17"/>
      <c r="IX164" s="17"/>
      <c r="IY164" s="17"/>
      <c r="IZ164" s="17"/>
      <c r="JA164" s="17"/>
      <c r="JB164" s="17"/>
      <c r="JC164" s="17"/>
      <c r="JD164" s="17"/>
      <c r="JE164" s="17"/>
      <c r="JF164" s="17"/>
      <c r="JG164" s="17"/>
      <c r="JH164" s="17"/>
      <c r="JI164" s="17"/>
      <c r="JJ164" s="17"/>
      <c r="JK164" s="17"/>
      <c r="JL164" s="17"/>
      <c r="JM164" s="17"/>
      <c r="JN164" s="17"/>
      <c r="JO164" s="17"/>
      <c r="JP164" s="17"/>
      <c r="JQ164" s="17"/>
      <c r="JR164" s="17"/>
      <c r="JS164" s="17"/>
      <c r="JT164" s="17"/>
      <c r="JU164" s="17"/>
      <c r="JV164" s="17"/>
      <c r="JW164" s="17"/>
      <c r="JX164" s="17"/>
      <c r="JY164" s="17"/>
      <c r="JZ164" s="17"/>
      <c r="KA164" s="17"/>
      <c r="KB164" s="17"/>
      <c r="KC164" s="17"/>
      <c r="KD164" s="17"/>
      <c r="KE164" s="17"/>
      <c r="KF164" s="17"/>
      <c r="KG164" s="17"/>
      <c r="KH164" s="17"/>
      <c r="KI164" s="17"/>
      <c r="KJ164" s="17"/>
      <c r="KK164" s="17"/>
      <c r="KL164" s="17"/>
      <c r="KM164" s="17"/>
      <c r="KN164" s="17"/>
      <c r="KO164" s="17"/>
      <c r="KP164" s="17"/>
      <c r="KQ164" s="17"/>
      <c r="KR164" s="17"/>
      <c r="KS164" s="17"/>
      <c r="KT164" s="17"/>
      <c r="KU164" s="17"/>
      <c r="KV164" s="17"/>
      <c r="KW164" s="17"/>
      <c r="KX164" s="17"/>
      <c r="KY164" s="17"/>
      <c r="KZ164" s="17"/>
      <c r="LA164" s="17"/>
      <c r="LB164" s="17"/>
      <c r="LC164" s="17"/>
      <c r="LD164" s="17"/>
      <c r="LE164" s="17"/>
      <c r="LF164" s="17"/>
      <c r="LG164" s="17"/>
      <c r="LH164" s="17"/>
      <c r="LI164" s="17"/>
      <c r="LJ164" s="17"/>
      <c r="LK164" s="17"/>
      <c r="LL164" s="17"/>
      <c r="LM164" s="17"/>
      <c r="LN164" s="17"/>
      <c r="LO164" s="17"/>
      <c r="LP164" s="17"/>
      <c r="LQ164" s="17"/>
      <c r="LR164" s="17"/>
      <c r="LS164" s="17"/>
      <c r="LT164" s="17"/>
      <c r="LU164" s="17"/>
      <c r="LV164" s="17"/>
      <c r="LW164" s="17"/>
      <c r="LX164" s="17"/>
      <c r="LY164" s="17"/>
      <c r="LZ164" s="17"/>
      <c r="MA164" s="17"/>
      <c r="MB164" s="17"/>
      <c r="MC164" s="17"/>
      <c r="MD164" s="17"/>
      <c r="ME164" s="17"/>
      <c r="MF164" s="17"/>
      <c r="MG164" s="17"/>
      <c r="MH164" s="17"/>
      <c r="MI164" s="17"/>
      <c r="MJ164" s="17"/>
      <c r="MK164" s="17"/>
      <c r="ML164" s="17"/>
      <c r="MM164" s="17"/>
      <c r="MN164" s="17"/>
      <c r="MO164" s="17"/>
      <c r="MP164" s="17"/>
      <c r="MQ164" s="17"/>
      <c r="MR164" s="17"/>
      <c r="MS164" s="17"/>
      <c r="MT164" s="17"/>
      <c r="MU164" s="17"/>
      <c r="MV164" s="17"/>
      <c r="MW164" s="17"/>
      <c r="MX164" s="17"/>
      <c r="MY164" s="17"/>
      <c r="MZ164" s="17"/>
      <c r="NA164" s="17"/>
      <c r="NB164" s="17"/>
      <c r="NC164" s="17"/>
      <c r="ND164" s="17"/>
      <c r="NE164" s="17"/>
      <c r="NF164" s="17"/>
      <c r="NG164" s="17"/>
      <c r="NH164" s="17"/>
      <c r="NI164" s="17"/>
      <c r="NJ164" s="17"/>
      <c r="NK164" s="17"/>
      <c r="NL164" s="17"/>
      <c r="NM164" s="17"/>
      <c r="NN164" s="17"/>
      <c r="NO164" s="17"/>
      <c r="NP164" s="17"/>
      <c r="NQ164" s="17"/>
      <c r="NR164" s="17"/>
      <c r="NS164" s="17"/>
      <c r="NT164" s="17"/>
      <c r="NU164" s="17"/>
      <c r="NV164" s="17"/>
      <c r="NW164" s="17"/>
      <c r="NX164" s="17"/>
      <c r="NY164" s="17"/>
      <c r="NZ164" s="17"/>
      <c r="OA164" s="17"/>
      <c r="OB164" s="17"/>
      <c r="OC164" s="17"/>
      <c r="OD164" s="17"/>
      <c r="OE164" s="17"/>
      <c r="OF164" s="17"/>
      <c r="OG164" s="17"/>
      <c r="OH164" s="17"/>
      <c r="OI164" s="17"/>
      <c r="OJ164" s="17"/>
      <c r="OK164" s="17"/>
      <c r="OL164" s="17"/>
      <c r="OM164" s="17"/>
      <c r="ON164" s="17"/>
      <c r="OO164" s="17"/>
      <c r="OP164" s="17"/>
      <c r="OQ164" s="17"/>
      <c r="OR164" s="17"/>
      <c r="OS164" s="17"/>
      <c r="OT164" s="17"/>
      <c r="OU164" s="17"/>
      <c r="OV164" s="17"/>
      <c r="OW164" s="17"/>
      <c r="OX164" s="17"/>
      <c r="OY164" s="17"/>
      <c r="OZ164" s="17"/>
      <c r="PA164" s="17"/>
      <c r="PB164" s="17"/>
      <c r="PC164" s="17"/>
      <c r="PD164" s="17"/>
      <c r="PE164" s="17"/>
      <c r="PF164" s="17"/>
      <c r="PG164" s="17"/>
      <c r="PH164" s="17"/>
      <c r="PI164" s="17"/>
      <c r="PJ164" s="17"/>
      <c r="PK164" s="17"/>
      <c r="PL164" s="17"/>
      <c r="PM164" s="17"/>
      <c r="PN164" s="17"/>
      <c r="PO164" s="17"/>
      <c r="PP164" s="17"/>
      <c r="PQ164" s="17"/>
      <c r="PR164" s="17"/>
      <c r="PS164" s="17"/>
      <c r="PT164" s="17"/>
      <c r="PU164" s="17"/>
      <c r="PV164" s="17"/>
      <c r="PW164" s="17"/>
      <c r="PX164" s="17"/>
      <c r="PY164" s="17"/>
      <c r="PZ164" s="17"/>
      <c r="QA164" s="17"/>
      <c r="QB164" s="17"/>
      <c r="QC164" s="17"/>
      <c r="QD164" s="17"/>
      <c r="QE164" s="17"/>
      <c r="QF164" s="17"/>
      <c r="QG164" s="17"/>
      <c r="QH164" s="17"/>
      <c r="QI164" s="17"/>
      <c r="QJ164" s="17"/>
      <c r="QK164" s="17"/>
      <c r="QL164" s="17"/>
      <c r="QM164" s="17"/>
      <c r="QN164" s="17"/>
      <c r="QO164" s="17"/>
      <c r="QP164" s="17"/>
      <c r="QQ164" s="17"/>
      <c r="QR164" s="17"/>
      <c r="QS164" s="17"/>
      <c r="QT164" s="17"/>
      <c r="QU164" s="17"/>
      <c r="QV164" s="17"/>
      <c r="QW164" s="17"/>
      <c r="QX164" s="17"/>
      <c r="QY164" s="17"/>
      <c r="QZ164" s="17"/>
      <c r="RA164" s="17"/>
      <c r="RB164" s="17"/>
      <c r="RC164" s="17"/>
      <c r="RD164" s="17"/>
      <c r="RE164" s="17"/>
      <c r="RF164" s="17"/>
      <c r="RG164" s="17"/>
      <c r="RH164" s="17"/>
      <c r="RI164" s="17"/>
      <c r="RJ164" s="17"/>
      <c r="RK164" s="17"/>
      <c r="RL164" s="17"/>
      <c r="RM164" s="17"/>
      <c r="RN164" s="17"/>
      <c r="RO164" s="17"/>
      <c r="RP164" s="17"/>
      <c r="RQ164" s="17"/>
      <c r="RR164" s="17"/>
      <c r="RS164" s="17"/>
      <c r="RT164" s="17"/>
      <c r="RU164" s="17"/>
      <c r="RV164" s="17"/>
      <c r="RW164" s="17"/>
      <c r="RX164" s="18"/>
    </row>
    <row r="167" spans="1:492" ht="15" customHeight="1">
      <c r="A167" s="13" t="s">
        <v>92</v>
      </c>
      <c r="B167" s="14" t="s">
        <v>62</v>
      </c>
      <c r="C167" s="33" t="e">
        <f>COUNTA(I168:I169)/COUNTA(F168:F169)</f>
        <v>#DIV/0!</v>
      </c>
      <c r="D167" s="15" t="s">
        <v>23</v>
      </c>
      <c r="E167" s="16"/>
      <c r="F167" s="16"/>
      <c r="G167" s="35"/>
      <c r="H167" s="16"/>
      <c r="I167" s="16"/>
      <c r="J167" s="14"/>
      <c r="K167" s="14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  <c r="EW167" s="17"/>
      <c r="EX167" s="17"/>
      <c r="EY167" s="17"/>
      <c r="EZ167" s="17"/>
      <c r="FA167" s="17"/>
      <c r="FB167" s="17"/>
      <c r="FC167" s="17"/>
      <c r="FD167" s="17"/>
      <c r="FE167" s="17"/>
      <c r="FF167" s="17"/>
      <c r="FG167" s="17"/>
      <c r="FH167" s="17"/>
      <c r="FI167" s="17"/>
      <c r="FJ167" s="17"/>
      <c r="FK167" s="17"/>
      <c r="FL167" s="17"/>
      <c r="FM167" s="17"/>
      <c r="FN167" s="17"/>
      <c r="FO167" s="17"/>
      <c r="FP167" s="17"/>
      <c r="FQ167" s="17"/>
      <c r="FR167" s="17"/>
      <c r="FS167" s="17"/>
      <c r="FT167" s="17"/>
      <c r="FU167" s="17"/>
      <c r="FV167" s="17"/>
      <c r="FW167" s="17"/>
      <c r="FX167" s="17"/>
      <c r="FY167" s="17"/>
      <c r="FZ167" s="17"/>
      <c r="GA167" s="17"/>
      <c r="GB167" s="17"/>
      <c r="GC167" s="17"/>
      <c r="GD167" s="17"/>
      <c r="GE167" s="17"/>
      <c r="GF167" s="17"/>
      <c r="GG167" s="17"/>
      <c r="GH167" s="17"/>
      <c r="GI167" s="17"/>
      <c r="GJ167" s="17"/>
      <c r="GK167" s="17"/>
      <c r="GL167" s="17"/>
      <c r="GM167" s="17"/>
      <c r="GN167" s="17"/>
      <c r="GO167" s="17"/>
      <c r="GP167" s="17"/>
      <c r="GQ167" s="17"/>
      <c r="GR167" s="17"/>
      <c r="GS167" s="17"/>
      <c r="GT167" s="17"/>
      <c r="GU167" s="17"/>
      <c r="GV167" s="17"/>
      <c r="GW167" s="17"/>
      <c r="GX167" s="17"/>
      <c r="GY167" s="17"/>
      <c r="GZ167" s="17"/>
      <c r="HA167" s="17"/>
      <c r="HB167" s="17"/>
      <c r="HC167" s="17"/>
      <c r="HD167" s="17"/>
      <c r="HE167" s="17"/>
      <c r="HF167" s="17"/>
      <c r="HG167" s="17"/>
      <c r="HH167" s="17"/>
      <c r="HI167" s="17"/>
      <c r="HJ167" s="17"/>
      <c r="HK167" s="17"/>
      <c r="HL167" s="17"/>
      <c r="HM167" s="17"/>
      <c r="HN167" s="17"/>
      <c r="HO167" s="17"/>
      <c r="HP167" s="17"/>
      <c r="HQ167" s="17"/>
      <c r="HR167" s="17"/>
      <c r="HS167" s="17"/>
      <c r="HT167" s="17"/>
      <c r="HU167" s="17"/>
      <c r="HV167" s="17"/>
      <c r="HW167" s="17"/>
      <c r="HX167" s="17"/>
      <c r="HY167" s="17"/>
      <c r="HZ167" s="17"/>
      <c r="IA167" s="17"/>
      <c r="IB167" s="17"/>
      <c r="IC167" s="17"/>
      <c r="ID167" s="17"/>
      <c r="IE167" s="17"/>
      <c r="IF167" s="17"/>
      <c r="IG167" s="17"/>
      <c r="IH167" s="17"/>
      <c r="II167" s="17"/>
      <c r="IJ167" s="17"/>
      <c r="IK167" s="17"/>
      <c r="IL167" s="17"/>
      <c r="IM167" s="17"/>
      <c r="IN167" s="17"/>
      <c r="IO167" s="17"/>
      <c r="IP167" s="17"/>
      <c r="IQ167" s="17"/>
      <c r="IR167" s="17"/>
      <c r="IS167" s="17"/>
      <c r="IT167" s="17"/>
      <c r="IU167" s="17"/>
      <c r="IV167" s="17"/>
      <c r="IW167" s="17"/>
      <c r="IX167" s="17"/>
      <c r="IY167" s="17"/>
      <c r="IZ167" s="17"/>
      <c r="JA167" s="17"/>
      <c r="JB167" s="17"/>
      <c r="JC167" s="17"/>
      <c r="JD167" s="17"/>
      <c r="JE167" s="17"/>
      <c r="JF167" s="17"/>
      <c r="JG167" s="17"/>
      <c r="JH167" s="17"/>
      <c r="JI167" s="17"/>
      <c r="JJ167" s="17"/>
      <c r="JK167" s="17"/>
      <c r="JL167" s="17"/>
      <c r="JM167" s="17"/>
      <c r="JN167" s="17"/>
      <c r="JO167" s="17"/>
      <c r="JP167" s="17"/>
      <c r="JQ167" s="17"/>
      <c r="JR167" s="17"/>
      <c r="JS167" s="17"/>
      <c r="JT167" s="17"/>
      <c r="JU167" s="17"/>
      <c r="JV167" s="17"/>
      <c r="JW167" s="17"/>
      <c r="JX167" s="17"/>
      <c r="JY167" s="17"/>
      <c r="JZ167" s="17"/>
      <c r="KA167" s="17"/>
      <c r="KB167" s="17"/>
      <c r="KC167" s="17"/>
      <c r="KD167" s="17"/>
      <c r="KE167" s="17"/>
      <c r="KF167" s="17"/>
      <c r="KG167" s="17"/>
      <c r="KH167" s="17"/>
      <c r="KI167" s="17"/>
      <c r="KJ167" s="17"/>
      <c r="KK167" s="17"/>
      <c r="KL167" s="17"/>
      <c r="KM167" s="17"/>
      <c r="KN167" s="17"/>
      <c r="KO167" s="17"/>
      <c r="KP167" s="17"/>
      <c r="KQ167" s="17"/>
      <c r="KR167" s="17"/>
      <c r="KS167" s="17"/>
      <c r="KT167" s="17"/>
      <c r="KU167" s="17"/>
      <c r="KV167" s="17"/>
      <c r="KW167" s="17"/>
      <c r="KX167" s="17"/>
      <c r="KY167" s="17"/>
      <c r="KZ167" s="17"/>
      <c r="LA167" s="17"/>
      <c r="LB167" s="17"/>
      <c r="LC167" s="17"/>
      <c r="LD167" s="17"/>
      <c r="LE167" s="17"/>
      <c r="LF167" s="17"/>
      <c r="LG167" s="17"/>
      <c r="LH167" s="17"/>
      <c r="LI167" s="17"/>
      <c r="LJ167" s="17"/>
      <c r="LK167" s="17"/>
      <c r="LL167" s="17"/>
      <c r="LM167" s="17"/>
      <c r="LN167" s="17"/>
      <c r="LO167" s="17"/>
      <c r="LP167" s="17"/>
      <c r="LQ167" s="17"/>
      <c r="LR167" s="17"/>
      <c r="LS167" s="17"/>
      <c r="LT167" s="17"/>
      <c r="LU167" s="17"/>
      <c r="LV167" s="17"/>
      <c r="LW167" s="17"/>
      <c r="LX167" s="17"/>
      <c r="LY167" s="17"/>
      <c r="LZ167" s="17"/>
      <c r="MA167" s="17"/>
      <c r="MB167" s="17"/>
      <c r="MC167" s="17"/>
      <c r="MD167" s="17"/>
      <c r="ME167" s="17"/>
      <c r="MF167" s="17"/>
      <c r="MG167" s="17"/>
      <c r="MH167" s="17"/>
      <c r="MI167" s="17"/>
      <c r="MJ167" s="17"/>
      <c r="MK167" s="17"/>
      <c r="ML167" s="17"/>
      <c r="MM167" s="17"/>
      <c r="MN167" s="17"/>
      <c r="MO167" s="17"/>
      <c r="MP167" s="17"/>
      <c r="MQ167" s="17"/>
      <c r="MR167" s="17"/>
      <c r="MS167" s="17"/>
      <c r="MT167" s="17"/>
      <c r="MU167" s="17"/>
      <c r="MV167" s="17"/>
      <c r="MW167" s="17"/>
      <c r="MX167" s="17"/>
      <c r="MY167" s="17"/>
      <c r="MZ167" s="17"/>
      <c r="NA167" s="17"/>
      <c r="NB167" s="17"/>
      <c r="NC167" s="17"/>
      <c r="ND167" s="17"/>
      <c r="NE167" s="17"/>
      <c r="NF167" s="17"/>
      <c r="NG167" s="17"/>
      <c r="NH167" s="17"/>
      <c r="NI167" s="17"/>
      <c r="NJ167" s="17"/>
      <c r="NK167" s="17"/>
      <c r="NL167" s="17"/>
      <c r="NM167" s="17"/>
      <c r="NN167" s="17"/>
      <c r="NO167" s="17"/>
      <c r="NP167" s="17"/>
      <c r="NQ167" s="17"/>
      <c r="NR167" s="17"/>
      <c r="NS167" s="17"/>
      <c r="NT167" s="17"/>
      <c r="NU167" s="17"/>
      <c r="NV167" s="17"/>
      <c r="NW167" s="17"/>
      <c r="NX167" s="17"/>
      <c r="NY167" s="17"/>
      <c r="NZ167" s="17"/>
      <c r="OA167" s="17"/>
      <c r="OB167" s="17"/>
      <c r="OC167" s="17"/>
      <c r="OD167" s="17"/>
      <c r="OE167" s="17"/>
      <c r="OF167" s="17"/>
      <c r="OG167" s="17"/>
      <c r="OH167" s="17"/>
      <c r="OI167" s="17"/>
      <c r="OJ167" s="17"/>
      <c r="OK167" s="17"/>
      <c r="OL167" s="17"/>
      <c r="OM167" s="17"/>
      <c r="ON167" s="17"/>
      <c r="OO167" s="17"/>
      <c r="OP167" s="17"/>
      <c r="OQ167" s="17"/>
      <c r="OR167" s="17"/>
      <c r="OS167" s="17"/>
      <c r="OT167" s="17"/>
      <c r="OU167" s="17"/>
      <c r="OV167" s="17"/>
      <c r="OW167" s="17"/>
      <c r="OX167" s="17"/>
      <c r="OY167" s="17"/>
      <c r="OZ167" s="17"/>
      <c r="PA167" s="17"/>
      <c r="PB167" s="17"/>
      <c r="PC167" s="17"/>
      <c r="PD167" s="17"/>
      <c r="PE167" s="17"/>
      <c r="PF167" s="17"/>
      <c r="PG167" s="17"/>
      <c r="PH167" s="17"/>
      <c r="PI167" s="17"/>
      <c r="PJ167" s="17"/>
      <c r="PK167" s="17"/>
      <c r="PL167" s="17"/>
      <c r="PM167" s="17"/>
      <c r="PN167" s="17"/>
      <c r="PO167" s="17"/>
      <c r="PP167" s="17"/>
      <c r="PQ167" s="17"/>
      <c r="PR167" s="17"/>
      <c r="PS167" s="17"/>
      <c r="PT167" s="17"/>
      <c r="PU167" s="17"/>
      <c r="PV167" s="17"/>
      <c r="PW167" s="17"/>
      <c r="PX167" s="17"/>
      <c r="PY167" s="17"/>
      <c r="PZ167" s="17"/>
      <c r="QA167" s="17"/>
      <c r="QB167" s="17"/>
      <c r="QC167" s="17"/>
      <c r="QD167" s="17"/>
      <c r="QE167" s="17"/>
      <c r="QF167" s="17"/>
      <c r="QG167" s="17"/>
      <c r="QH167" s="17"/>
      <c r="QI167" s="17"/>
      <c r="QJ167" s="17"/>
      <c r="QK167" s="17"/>
      <c r="QL167" s="17"/>
      <c r="QM167" s="17"/>
      <c r="QN167" s="17"/>
      <c r="QO167" s="17"/>
      <c r="QP167" s="17"/>
      <c r="QQ167" s="17"/>
      <c r="QR167" s="17"/>
      <c r="QS167" s="17"/>
      <c r="QT167" s="17"/>
      <c r="QU167" s="17"/>
      <c r="QV167" s="17"/>
      <c r="QW167" s="17"/>
      <c r="QX167" s="17"/>
      <c r="QY167" s="17"/>
      <c r="QZ167" s="17"/>
      <c r="RA167" s="17"/>
      <c r="RB167" s="17"/>
      <c r="RC167" s="17"/>
      <c r="RD167" s="17"/>
      <c r="RE167" s="17"/>
      <c r="RF167" s="17"/>
      <c r="RG167" s="17"/>
      <c r="RH167" s="17"/>
      <c r="RI167" s="17"/>
      <c r="RJ167" s="17"/>
      <c r="RK167" s="17"/>
      <c r="RL167" s="17"/>
      <c r="RM167" s="17"/>
      <c r="RN167" s="17"/>
      <c r="RO167" s="17"/>
      <c r="RP167" s="17"/>
      <c r="RQ167" s="17"/>
      <c r="RR167" s="17"/>
      <c r="RS167" s="17"/>
      <c r="RT167" s="17"/>
      <c r="RU167" s="17"/>
      <c r="RV167" s="17"/>
      <c r="RW167" s="17"/>
      <c r="RX167" s="18"/>
    </row>
    <row r="170" spans="1:492" ht="15" customHeight="1">
      <c r="A170" s="13" t="s">
        <v>93</v>
      </c>
      <c r="B170" s="14" t="s">
        <v>62</v>
      </c>
      <c r="C170" s="33">
        <f>COUNTA(I171:I193)/COUNTA(F171:F193)</f>
        <v>1</v>
      </c>
      <c r="D170" s="15" t="s">
        <v>23</v>
      </c>
      <c r="E170" s="16">
        <f>E171</f>
        <v>46301</v>
      </c>
      <c r="F170" s="16">
        <f>F186</f>
        <v>0</v>
      </c>
      <c r="G170" s="35">
        <f>F170-E170</f>
        <v>-46301</v>
      </c>
      <c r="H170" s="16">
        <f>H171</f>
        <v>46301</v>
      </c>
      <c r="I170" s="16">
        <f>I186</f>
        <v>0</v>
      </c>
      <c r="J170" s="35">
        <f>I170-H170</f>
        <v>-46301</v>
      </c>
      <c r="K170" s="14" t="s">
        <v>1</v>
      </c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  <c r="EW170" s="17"/>
      <c r="EX170" s="17"/>
      <c r="EY170" s="17"/>
      <c r="EZ170" s="17"/>
      <c r="FA170" s="17"/>
      <c r="FB170" s="17"/>
      <c r="FC170" s="17"/>
      <c r="FD170" s="17"/>
      <c r="FE170" s="17"/>
      <c r="FF170" s="17"/>
      <c r="FG170" s="17"/>
      <c r="FH170" s="17"/>
      <c r="FI170" s="17"/>
      <c r="FJ170" s="17"/>
      <c r="FK170" s="17"/>
      <c r="FL170" s="17"/>
      <c r="FM170" s="17"/>
      <c r="FN170" s="17"/>
      <c r="FO170" s="17"/>
      <c r="FP170" s="17"/>
      <c r="FQ170" s="17"/>
      <c r="FR170" s="17"/>
      <c r="FS170" s="17"/>
      <c r="FT170" s="17"/>
      <c r="FU170" s="17"/>
      <c r="FV170" s="17"/>
      <c r="FW170" s="17"/>
      <c r="FX170" s="17"/>
      <c r="FY170" s="17"/>
      <c r="FZ170" s="17"/>
      <c r="GA170" s="17"/>
      <c r="GB170" s="17"/>
      <c r="GC170" s="17"/>
      <c r="GD170" s="17"/>
      <c r="GE170" s="17"/>
      <c r="GF170" s="17"/>
      <c r="GG170" s="17"/>
      <c r="GH170" s="17"/>
      <c r="GI170" s="17"/>
      <c r="GJ170" s="17"/>
      <c r="GK170" s="17"/>
      <c r="GL170" s="17"/>
      <c r="GM170" s="17"/>
      <c r="GN170" s="17"/>
      <c r="GO170" s="17"/>
      <c r="GP170" s="17"/>
      <c r="GQ170" s="17"/>
      <c r="GR170" s="17"/>
      <c r="GS170" s="17"/>
      <c r="GT170" s="17"/>
      <c r="GU170" s="17"/>
      <c r="GV170" s="17"/>
      <c r="GW170" s="17"/>
      <c r="GX170" s="17"/>
      <c r="GY170" s="17"/>
      <c r="GZ170" s="17"/>
      <c r="HA170" s="17"/>
      <c r="HB170" s="17"/>
      <c r="HC170" s="17"/>
      <c r="HD170" s="17"/>
      <c r="HE170" s="17"/>
      <c r="HF170" s="17"/>
      <c r="HG170" s="17"/>
      <c r="HH170" s="17"/>
      <c r="HI170" s="17"/>
      <c r="HJ170" s="17"/>
      <c r="HK170" s="17"/>
      <c r="HL170" s="17"/>
      <c r="HM170" s="17"/>
      <c r="HN170" s="17"/>
      <c r="HO170" s="17"/>
      <c r="HP170" s="17"/>
      <c r="HQ170" s="17"/>
      <c r="HR170" s="17"/>
      <c r="HS170" s="17"/>
      <c r="HT170" s="17"/>
      <c r="HU170" s="17"/>
      <c r="HV170" s="17"/>
      <c r="HW170" s="17"/>
      <c r="HX170" s="17"/>
      <c r="HY170" s="17"/>
      <c r="HZ170" s="17"/>
      <c r="IA170" s="17"/>
      <c r="IB170" s="17"/>
      <c r="IC170" s="17"/>
      <c r="ID170" s="17"/>
      <c r="IE170" s="17"/>
      <c r="IF170" s="17"/>
      <c r="IG170" s="17"/>
      <c r="IH170" s="17"/>
      <c r="II170" s="17"/>
      <c r="IJ170" s="17"/>
      <c r="IK170" s="17"/>
      <c r="IL170" s="17"/>
      <c r="IM170" s="17"/>
      <c r="IN170" s="17"/>
      <c r="IO170" s="17"/>
      <c r="IP170" s="17"/>
      <c r="IQ170" s="17"/>
      <c r="IR170" s="17"/>
      <c r="IS170" s="17"/>
      <c r="IT170" s="17"/>
      <c r="IU170" s="17"/>
      <c r="IV170" s="17"/>
      <c r="IW170" s="17"/>
      <c r="IX170" s="17"/>
      <c r="IY170" s="17"/>
      <c r="IZ170" s="17"/>
      <c r="JA170" s="17"/>
      <c r="JB170" s="17"/>
      <c r="JC170" s="17"/>
      <c r="JD170" s="17"/>
      <c r="JE170" s="17"/>
      <c r="JF170" s="17"/>
      <c r="JG170" s="17"/>
      <c r="JH170" s="17"/>
      <c r="JI170" s="17"/>
      <c r="JJ170" s="17"/>
      <c r="JK170" s="17"/>
      <c r="JL170" s="17"/>
      <c r="JM170" s="17"/>
      <c r="JN170" s="17"/>
      <c r="JO170" s="17"/>
      <c r="JP170" s="17"/>
      <c r="JQ170" s="17"/>
      <c r="JR170" s="17"/>
      <c r="JS170" s="17"/>
      <c r="JT170" s="17"/>
      <c r="JU170" s="17"/>
      <c r="JV170" s="17"/>
      <c r="JW170" s="17"/>
      <c r="JX170" s="17"/>
      <c r="JY170" s="17"/>
      <c r="JZ170" s="17"/>
      <c r="KA170" s="17"/>
      <c r="KB170" s="17"/>
      <c r="KC170" s="17"/>
      <c r="KD170" s="17"/>
      <c r="KE170" s="17"/>
      <c r="KF170" s="17"/>
      <c r="KG170" s="17"/>
      <c r="KH170" s="17"/>
      <c r="KI170" s="17"/>
      <c r="KJ170" s="17"/>
      <c r="KK170" s="17"/>
      <c r="KL170" s="17"/>
      <c r="KM170" s="17"/>
      <c r="KN170" s="17"/>
      <c r="KO170" s="17"/>
      <c r="KP170" s="17"/>
      <c r="KQ170" s="17"/>
      <c r="KR170" s="17"/>
      <c r="KS170" s="17"/>
      <c r="KT170" s="17"/>
      <c r="KU170" s="17"/>
      <c r="KV170" s="17"/>
      <c r="KW170" s="17"/>
      <c r="KX170" s="17"/>
      <c r="KY170" s="17"/>
      <c r="KZ170" s="17"/>
      <c r="LA170" s="17"/>
      <c r="LB170" s="17"/>
      <c r="LC170" s="17"/>
      <c r="LD170" s="17"/>
      <c r="LE170" s="17"/>
      <c r="LF170" s="17"/>
      <c r="LG170" s="17"/>
      <c r="LH170" s="17"/>
      <c r="LI170" s="17"/>
      <c r="LJ170" s="17"/>
      <c r="LK170" s="17"/>
      <c r="LL170" s="17"/>
      <c r="LM170" s="17"/>
      <c r="LN170" s="17"/>
      <c r="LO170" s="17"/>
      <c r="LP170" s="17"/>
      <c r="LQ170" s="17"/>
      <c r="LR170" s="17"/>
      <c r="LS170" s="17"/>
      <c r="LT170" s="17"/>
      <c r="LU170" s="17"/>
      <c r="LV170" s="17"/>
      <c r="LW170" s="17"/>
      <c r="LX170" s="17"/>
      <c r="LY170" s="17"/>
      <c r="LZ170" s="17"/>
      <c r="MA170" s="17"/>
      <c r="MB170" s="17"/>
      <c r="MC170" s="17"/>
      <c r="MD170" s="17"/>
      <c r="ME170" s="17"/>
      <c r="MF170" s="17"/>
      <c r="MG170" s="17"/>
      <c r="MH170" s="17"/>
      <c r="MI170" s="17"/>
      <c r="MJ170" s="17"/>
      <c r="MK170" s="17"/>
      <c r="ML170" s="17"/>
      <c r="MM170" s="17"/>
      <c r="MN170" s="17"/>
      <c r="MO170" s="17"/>
      <c r="MP170" s="17"/>
      <c r="MQ170" s="17"/>
      <c r="MR170" s="17"/>
      <c r="MS170" s="17"/>
      <c r="MT170" s="17"/>
      <c r="MU170" s="17"/>
      <c r="MV170" s="17"/>
      <c r="MW170" s="17"/>
      <c r="MX170" s="17"/>
      <c r="MY170" s="17"/>
      <c r="MZ170" s="17"/>
      <c r="NA170" s="17"/>
      <c r="NB170" s="17"/>
      <c r="NC170" s="17"/>
      <c r="ND170" s="17"/>
      <c r="NE170" s="17"/>
      <c r="NF170" s="17"/>
      <c r="NG170" s="17"/>
      <c r="NH170" s="17"/>
      <c r="NI170" s="17"/>
      <c r="NJ170" s="17"/>
      <c r="NK170" s="17"/>
      <c r="NL170" s="17"/>
      <c r="NM170" s="17"/>
      <c r="NN170" s="17"/>
      <c r="NO170" s="17"/>
      <c r="NP170" s="17"/>
      <c r="NQ170" s="17"/>
      <c r="NR170" s="17"/>
      <c r="NS170" s="17"/>
      <c r="NT170" s="17"/>
      <c r="NU170" s="17"/>
      <c r="NV170" s="17"/>
      <c r="NW170" s="17"/>
      <c r="NX170" s="17"/>
      <c r="NY170" s="17"/>
      <c r="NZ170" s="17"/>
      <c r="OA170" s="17"/>
      <c r="OB170" s="17"/>
      <c r="OC170" s="17"/>
      <c r="OD170" s="17"/>
      <c r="OE170" s="17"/>
      <c r="OF170" s="17"/>
      <c r="OG170" s="17"/>
      <c r="OH170" s="17"/>
      <c r="OI170" s="17"/>
      <c r="OJ170" s="17"/>
      <c r="OK170" s="17"/>
      <c r="OL170" s="17"/>
      <c r="OM170" s="17"/>
      <c r="ON170" s="17"/>
      <c r="OO170" s="17"/>
      <c r="OP170" s="17"/>
      <c r="OQ170" s="17"/>
      <c r="OR170" s="17"/>
      <c r="OS170" s="17"/>
      <c r="OT170" s="17"/>
      <c r="OU170" s="17"/>
      <c r="OV170" s="17"/>
      <c r="OW170" s="17"/>
      <c r="OX170" s="17"/>
      <c r="OY170" s="17"/>
      <c r="OZ170" s="17"/>
      <c r="PA170" s="17"/>
      <c r="PB170" s="17"/>
      <c r="PC170" s="17"/>
      <c r="PD170" s="17"/>
      <c r="PE170" s="17"/>
      <c r="PF170" s="17"/>
      <c r="PG170" s="17"/>
      <c r="PH170" s="17"/>
      <c r="PI170" s="17"/>
      <c r="PJ170" s="17"/>
      <c r="PK170" s="17"/>
      <c r="PL170" s="17"/>
      <c r="PM170" s="17"/>
      <c r="PN170" s="17"/>
      <c r="PO170" s="17"/>
      <c r="PP170" s="17"/>
      <c r="PQ170" s="17"/>
      <c r="PR170" s="17"/>
      <c r="PS170" s="17"/>
      <c r="PT170" s="17"/>
      <c r="PU170" s="17"/>
      <c r="PV170" s="17"/>
      <c r="PW170" s="17"/>
      <c r="PX170" s="17"/>
      <c r="PY170" s="17"/>
      <c r="PZ170" s="17"/>
      <c r="QA170" s="17"/>
      <c r="QB170" s="17"/>
      <c r="QC170" s="17"/>
      <c r="QD170" s="17"/>
      <c r="QE170" s="17"/>
      <c r="QF170" s="17"/>
      <c r="QG170" s="17"/>
      <c r="QH170" s="17"/>
      <c r="QI170" s="17"/>
      <c r="QJ170" s="17"/>
      <c r="QK170" s="17"/>
      <c r="QL170" s="17"/>
      <c r="QM170" s="17"/>
      <c r="QN170" s="17"/>
      <c r="QO170" s="17"/>
      <c r="QP170" s="17"/>
      <c r="QQ170" s="17"/>
      <c r="QR170" s="17"/>
      <c r="QS170" s="17"/>
      <c r="QT170" s="17"/>
      <c r="QU170" s="17"/>
      <c r="QV170" s="17"/>
      <c r="QW170" s="17"/>
      <c r="QX170" s="17"/>
      <c r="QY170" s="17"/>
      <c r="QZ170" s="17"/>
      <c r="RA170" s="17"/>
      <c r="RB170" s="17"/>
      <c r="RC170" s="17"/>
      <c r="RD170" s="17"/>
      <c r="RE170" s="17"/>
      <c r="RF170" s="17"/>
      <c r="RG170" s="17"/>
      <c r="RH170" s="17"/>
      <c r="RI170" s="17"/>
      <c r="RJ170" s="17"/>
      <c r="RK170" s="17"/>
      <c r="RL170" s="17"/>
      <c r="RM170" s="17"/>
      <c r="RN170" s="17"/>
      <c r="RO170" s="17"/>
      <c r="RP170" s="17"/>
      <c r="RQ170" s="17"/>
      <c r="RR170" s="17"/>
      <c r="RS170" s="17"/>
      <c r="RT170" s="17"/>
      <c r="RU170" s="17"/>
      <c r="RV170" s="17"/>
      <c r="RW170" s="17"/>
      <c r="RX170" s="18"/>
    </row>
    <row r="171" spans="1:492" ht="15" customHeight="1">
      <c r="D171" s="5" t="s">
        <v>94</v>
      </c>
      <c r="E171" s="4">
        <v>46301</v>
      </c>
      <c r="F171" s="4">
        <v>46301</v>
      </c>
      <c r="G171" s="2">
        <f t="shared" ref="G171" si="27">NETWORKDAYS(E171, F171)</f>
        <v>1</v>
      </c>
      <c r="H171" s="4">
        <v>46301</v>
      </c>
      <c r="I171" s="4">
        <v>46301</v>
      </c>
      <c r="J171" s="2">
        <f t="shared" ref="J171" si="28">NETWORKDAYS(H171, I171)</f>
        <v>1</v>
      </c>
    </row>
    <row r="172" spans="1:492" ht="15" customHeight="1">
      <c r="D172" s="5" t="s">
        <v>68</v>
      </c>
      <c r="E172" s="4">
        <v>46302</v>
      </c>
      <c r="F172" s="4">
        <v>46302</v>
      </c>
      <c r="G172" s="2">
        <f t="shared" ref="G172" si="29">NETWORKDAYS(E172, F172)</f>
        <v>1</v>
      </c>
      <c r="H172" s="4">
        <v>46302</v>
      </c>
      <c r="I172" s="4">
        <v>46302</v>
      </c>
      <c r="J172" s="2">
        <f t="shared" ref="J172" si="30">NETWORKDAYS(H172, I172)</f>
        <v>1</v>
      </c>
    </row>
    <row r="173" spans="1:492" ht="15" customHeight="1">
      <c r="D173" s="5" t="s">
        <v>95</v>
      </c>
      <c r="E173" s="4">
        <v>46302</v>
      </c>
      <c r="F173" s="4">
        <v>46302</v>
      </c>
      <c r="G173" s="2">
        <f t="shared" ref="G173:G174" si="31">NETWORKDAYS(E173, F173)</f>
        <v>1</v>
      </c>
      <c r="H173" s="4">
        <v>46302</v>
      </c>
      <c r="I173" s="4">
        <v>46302</v>
      </c>
      <c r="J173" s="2">
        <f t="shared" ref="J173:J174" si="32">NETWORKDAYS(H173, I173)</f>
        <v>1</v>
      </c>
    </row>
    <row r="174" spans="1:492" ht="15" customHeight="1">
      <c r="D174" s="5" t="s">
        <v>96</v>
      </c>
      <c r="E174" s="4">
        <v>46302</v>
      </c>
      <c r="F174" s="4">
        <v>46316</v>
      </c>
      <c r="G174" s="2">
        <f t="shared" si="31"/>
        <v>11</v>
      </c>
      <c r="H174" s="4">
        <v>46302</v>
      </c>
      <c r="I174" s="4">
        <v>46316</v>
      </c>
      <c r="J174" s="2">
        <f t="shared" si="32"/>
        <v>11</v>
      </c>
    </row>
  </sheetData>
  <conditionalFormatting sqref="L5:RX1048576">
    <cfRule type="expression" dxfId="10" priority="69">
      <formula>AND(L$5&lt;&gt;"", L$5=TODAY())</formula>
    </cfRule>
  </conditionalFormatting>
  <conditionalFormatting sqref="L5:RX1048576">
    <cfRule type="expression" dxfId="9" priority="70">
      <formula>AND(L$5&lt;&gt;"", WEEKDAY(L$5,2)&gt;5,L$2="")</formula>
    </cfRule>
    <cfRule type="expression" dxfId="8" priority="71">
      <formula>L$2="o"</formula>
    </cfRule>
  </conditionalFormatting>
  <conditionalFormatting sqref="L6:RX1048576">
    <cfRule type="expression" dxfId="7" priority="66">
      <formula>AND($H6&lt;&gt;"",$I6&lt;&gt;"", L$5&gt;=$H6, L$5&lt;=$I6)</formula>
    </cfRule>
  </conditionalFormatting>
  <conditionalFormatting sqref="L6:RX1048576">
    <cfRule type="expression" dxfId="6" priority="67">
      <formula>AND($E6&lt;&gt;"",$F6&lt;&gt;"", L$5&gt;=$E6, L$5&lt;=$F6)</formula>
    </cfRule>
  </conditionalFormatting>
  <conditionalFormatting sqref="L6:RX1048576">
    <cfRule type="expression" dxfId="5" priority="68">
      <formula>AND($H6&lt;&gt;"", ISNUMBER(SEARCH("on progress",$K6)), L$5&gt;=$H6, L$5&lt;=TODAY())</formula>
    </cfRule>
  </conditionalFormatting>
  <conditionalFormatting sqref="A6:RX1048576">
    <cfRule type="expression" dxfId="4" priority="61">
      <formula>$K6="Just Planning"</formula>
    </cfRule>
    <cfRule type="expression" dxfId="3" priority="62">
      <formula>$K6="DONE"</formula>
    </cfRule>
    <cfRule type="expression" dxfId="2" priority="63">
      <formula>$K6="ON HOLD"</formula>
    </cfRule>
    <cfRule type="expression" dxfId="1" priority="64">
      <formula>$K6="CANCELED"</formula>
    </cfRule>
    <cfRule type="expression" dxfId="0" priority="65">
      <formula>$A6&lt;&gt;""</formula>
    </cfRule>
  </conditionalFormatting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5b384a-34eb-42cc-80b6-907f45b2b7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47D94DAA31D7142A87869405F35A890" ma:contentTypeVersion="13" ma:contentTypeDescription="새 문서를 만듭니다." ma:contentTypeScope="" ma:versionID="e0368dbc7aedd9dc39843113d0dac045">
  <xsd:schema xmlns:xsd="http://www.w3.org/2001/XMLSchema" xmlns:xs="http://www.w3.org/2001/XMLSchema" xmlns:p="http://schemas.microsoft.com/office/2006/metadata/properties" xmlns:ns3="3b5b384a-34eb-42cc-80b6-907f45b2b7b9" targetNamespace="http://schemas.microsoft.com/office/2006/metadata/properties" ma:root="true" ma:fieldsID="a15084d5ab0f0aaa435386a5367484db" ns3:_="">
    <xsd:import namespace="3b5b384a-34eb-42cc-80b6-907f45b2b7b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b384a-34eb-42cc-80b6-907f45b2b7b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577A01-B66A-4304-BD8C-1F1CB88CD5DE}">
  <ds:schemaRefs>
    <ds:schemaRef ds:uri="3b5b384a-34eb-42cc-80b6-907f45b2b7b9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F30CE57-06FC-430B-8303-96BBE47356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E92F28-36F1-4100-AFBF-01C323172A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5b384a-34eb-42cc-80b6-907f45b2b7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Zahra Syahda COSMAX IDN</dc:creator>
  <cp:keywords/>
  <dc:description/>
  <cp:lastModifiedBy>Fahrul Rozy COSMAX IDN</cp:lastModifiedBy>
  <cp:revision/>
  <dcterms:created xsi:type="dcterms:W3CDTF">2015-06-05T18:17:20Z</dcterms:created>
  <dcterms:modified xsi:type="dcterms:W3CDTF">2026-10-13T01:42:08Z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0x010100647D94DAA31D7142A87869405F35A890</vt:lpwstr>
  </property>
</Properties>
</file>